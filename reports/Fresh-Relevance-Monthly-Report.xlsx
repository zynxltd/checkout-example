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Performance" sheetId="1" state="visible" r:id="rId1"/>
    <sheet name="Web Slots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"/>
    <numFmt numFmtId="165" formatCode="£#,##0.00"/>
    <numFmt numFmtId="166" formatCode="0.0%"/>
  </numFmts>
  <fonts count="6">
    <font>
      <name val="Calibri"/>
      <family val="2"/>
      <color theme="1"/>
      <sz val="11"/>
      <scheme val="minor"/>
    </font>
    <font>
      <b val="1"/>
      <sz val="10"/>
    </font>
    <font>
      <color rgb="00000000"/>
    </font>
    <font>
      <b val="1"/>
      <color rgb="00000000"/>
    </font>
    <font>
      <b val="1"/>
      <sz val="14"/>
    </font>
    <font>
      <i val="1"/>
      <sz val="10"/>
    </font>
  </fonts>
  <fills count="8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2" borderId="0" pivotButton="0" quotePrefix="0" xfId="0"/>
    <xf numFmtId="164" fontId="2" fillId="3" borderId="0" pivotButton="0" quotePrefix="0" xfId="0"/>
    <xf numFmtId="10" fontId="2" fillId="3" borderId="0" pivotButton="0" quotePrefix="0" xfId="0"/>
    <xf numFmtId="165" fontId="2" fillId="3" borderId="0" pivotButton="0" quotePrefix="0" xfId="0"/>
    <xf numFmtId="3" fontId="2" fillId="4" borderId="0" pivotButton="0" quotePrefix="0" xfId="0"/>
    <xf numFmtId="10" fontId="2" fillId="4" borderId="0" pivotButton="0" quotePrefix="0" xfId="0"/>
    <xf numFmtId="164" fontId="2" fillId="4" borderId="0" pivotButton="0" quotePrefix="0" xfId="0"/>
    <xf numFmtId="165" fontId="2" fillId="4" borderId="0" pivotButton="0" quotePrefix="0" xfId="0"/>
    <xf numFmtId="3" fontId="2" fillId="5" borderId="0" pivotButton="0" quotePrefix="0" xfId="0"/>
    <xf numFmtId="10" fontId="2" fillId="5" borderId="0" pivotButton="0" quotePrefix="0" xfId="0"/>
    <xf numFmtId="164" fontId="2" fillId="5" borderId="0" pivotButton="0" quotePrefix="0" xfId="0"/>
    <xf numFmtId="165" fontId="2" fillId="5" borderId="0" pivotButton="0" quotePrefix="0" xfId="0"/>
    <xf numFmtId="0" fontId="2" fillId="6" borderId="0" applyAlignment="1" pivotButton="0" quotePrefix="0" xfId="0">
      <alignment vertical="top" wrapText="1"/>
    </xf>
    <xf numFmtId="0" fontId="2" fillId="7" borderId="0" pivotButton="0" quotePrefix="0" xfId="0"/>
    <xf numFmtId="0" fontId="3" fillId="2" borderId="0" pivotButton="0" quotePrefix="0" xfId="0"/>
    <xf numFmtId="164" fontId="3" fillId="3" borderId="0" pivotButton="0" quotePrefix="0" xfId="0"/>
    <xf numFmtId="10" fontId="3" fillId="3" borderId="0" pivotButton="0" quotePrefix="0" xfId="0"/>
    <xf numFmtId="165" fontId="3" fillId="3" borderId="0" pivotButton="0" quotePrefix="0" xfId="0"/>
    <xf numFmtId="3" fontId="3" fillId="4" borderId="0" pivotButton="0" quotePrefix="0" xfId="0"/>
    <xf numFmtId="10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3" fontId="3" fillId="5" borderId="0" pivotButton="0" quotePrefix="0" xfId="0"/>
    <xf numFmtId="10" fontId="3" fillId="5" borderId="0" pivotButton="0" quotePrefix="0" xfId="0"/>
    <xf numFmtId="164" fontId="3" fillId="5" borderId="0" pivotButton="0" quotePrefix="0" xfId="0"/>
    <xf numFmtId="165" fontId="3" fillId="5" borderId="0" pivotButton="0" quotePrefix="0" xfId="0"/>
    <xf numFmtId="0" fontId="3" fillId="6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4" borderId="1" pivotButton="0" quotePrefix="0" xfId="0"/>
    <xf numFmtId="164" fontId="2" fillId="4" borderId="1" pivotButton="0" quotePrefix="0" xfId="0"/>
    <xf numFmtId="166" fontId="2" fillId="4" borderId="1" pivotButton="0" quotePrefix="0" xfId="0"/>
    <xf numFmtId="0" fontId="3" fillId="4" borderId="1" pivotButton="0" quotePrefix="0" xfId="0"/>
    <xf numFmtId="164" fontId="3" fillId="4" borderId="1" pivotButton="0" quotePrefix="0" xfId="0"/>
    <xf numFmtId="166" fontId="3" fillId="4" borderId="1" pivotButton="0" quotePrefix="0" xfId="0"/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2" customWidth="1" min="4" max="4"/>
    <col width="20" customWidth="1" min="5" max="5"/>
    <col width="16" customWidth="1" min="6" max="6"/>
    <col width="14" customWidth="1" min="7" max="7"/>
    <col width="18" customWidth="1" min="8" max="8"/>
    <col width="16" customWidth="1" min="9" max="9"/>
    <col width="14" customWidth="1" min="10" max="10"/>
    <col width="22" customWidth="1" min="11" max="11"/>
    <col width="22" customWidth="1" min="12" max="12"/>
    <col width="22" customWidth="1" min="13" max="13"/>
    <col width="18" customWidth="1" min="14" max="14"/>
    <col width="22" customWidth="1" min="15" max="15"/>
    <col width="16" customWidth="1" min="16" max="16"/>
    <col width="26" customWidth="1" min="17" max="17"/>
    <col width="26" customWidth="1" min="18" max="18"/>
    <col width="24" customWidth="1" min="19" max="19"/>
    <col width="18" customWidth="1" min="20" max="20"/>
    <col width="36" customWidth="1" min="21" max="21"/>
  </cols>
  <sheetData>
    <row r="1" ht="28" customHeight="1">
      <c r="A1" s="1" t="inlineStr">
        <is>
          <t>Period</t>
        </is>
      </c>
      <c r="B1" s="1" t="n"/>
      <c r="C1" s="2" t="inlineStr">
        <is>
          <t>Overview</t>
        </is>
      </c>
      <c r="D1" s="2" t="n"/>
      <c r="E1" s="2" t="n"/>
      <c r="F1" s="2" t="n"/>
      <c r="G1" s="2" t="n"/>
      <c r="H1" s="2" t="n"/>
      <c r="I1" s="3" t="inlineStr">
        <is>
          <t>Web</t>
        </is>
      </c>
      <c r="J1" s="3" t="n"/>
      <c r="K1" s="3" t="n"/>
      <c r="L1" s="3" t="n"/>
      <c r="M1" s="3" t="n"/>
      <c r="N1" s="3" t="n"/>
      <c r="O1" s="4" t="inlineStr">
        <is>
          <t>Email</t>
        </is>
      </c>
      <c r="P1" s="4" t="n"/>
      <c r="Q1" s="4" t="n"/>
      <c r="R1" s="4" t="n"/>
      <c r="S1" s="4" t="n"/>
      <c r="T1" s="4" t="n"/>
      <c r="U1" s="5" t="inlineStr">
        <is>
          <t>Commentary</t>
        </is>
      </c>
    </row>
    <row r="2" ht="42" customHeight="1">
      <c r="A2" s="1" t="inlineStr">
        <is>
          <t>Year</t>
        </is>
      </c>
      <c r="B2" s="1" t="inlineStr">
        <is>
          <t>Month</t>
        </is>
      </c>
      <c r="C2" s="2" t="inlineStr">
        <is>
          <t>Total Site Sales (£)</t>
        </is>
      </c>
      <c r="D2" s="2" t="inlineStr">
        <is>
          <t>Total FR Attributed Sales (£)</t>
        </is>
      </c>
      <c r="E2" s="2" t="inlineStr">
        <is>
          <t>FR Share of Site Sales (%)</t>
        </is>
      </c>
      <c r="F2" s="2" t="inlineStr">
        <is>
          <t>FR Sales MoM (%)</t>
        </is>
      </c>
      <c r="G2" s="2" t="inlineStr">
        <is>
          <t>Total AOV (£)</t>
        </is>
      </c>
      <c r="H2" s="2" t="inlineStr">
        <is>
          <t>Total Conversion (%)</t>
        </is>
      </c>
      <c r="I2" s="3" t="inlineStr">
        <is>
          <t>Web Impressions</t>
        </is>
      </c>
      <c r="J2" s="3" t="inlineStr">
        <is>
          <t>Web CTR (%)</t>
        </is>
      </c>
      <c r="K2" s="3" t="inlineStr">
        <is>
          <t>Web Content Conversion (%)</t>
        </is>
      </c>
      <c r="L2" s="3" t="inlineStr">
        <is>
          <t>Web Attributed Sales (£)</t>
        </is>
      </c>
      <c r="M2" s="3" t="inlineStr">
        <is>
          <t>Web Share of Site Sales (%)</t>
        </is>
      </c>
      <c r="N2" s="3" t="inlineStr">
        <is>
          <t>Web Content AOV (£)</t>
        </is>
      </c>
      <c r="O2" s="4" t="inlineStr">
        <is>
          <t>Email Widget Impressions</t>
        </is>
      </c>
      <c r="P2" s="4" t="inlineStr">
        <is>
          <t>Email Widget CTR (%)</t>
        </is>
      </c>
      <c r="Q2" s="4" t="inlineStr">
        <is>
          <t>Email Content Conversion (%)</t>
        </is>
      </c>
      <c r="R2" s="4" t="inlineStr">
        <is>
          <t>Email Widget Attributed Sales (£)</t>
        </is>
      </c>
      <c r="S2" s="4" t="inlineStr">
        <is>
          <t>Email Share of Site Sales (%)</t>
        </is>
      </c>
      <c r="T2" s="4" t="inlineStr">
        <is>
          <t>Email Content AOV (£)</t>
        </is>
      </c>
      <c r="U2" s="5" t="inlineStr">
        <is>
          <t>Meeting Notes</t>
        </is>
      </c>
    </row>
    <row r="3">
      <c r="A3" s="6" t="n">
        <v>2025</v>
      </c>
      <c r="B3" s="6" t="inlineStr">
        <is>
          <t>Jun</t>
        </is>
      </c>
      <c r="C3" s="7" t="n">
        <v>254360.01</v>
      </c>
      <c r="D3" s="7">
        <f>L3+R3</f>
        <v/>
      </c>
      <c r="E3" s="8">
        <f>IF(C3&gt;0,D3/C3,"")</f>
        <v/>
      </c>
      <c r="F3" s="8" t="inlineStr"/>
      <c r="G3" s="9" t="n">
        <v>31.5</v>
      </c>
      <c r="H3" s="8" t="n">
        <v>0.03</v>
      </c>
      <c r="I3" s="10" t="n">
        <v>21540</v>
      </c>
      <c r="J3" s="11">
        <f>IF(I3&gt;0,K3/0.03,"")</f>
        <v/>
      </c>
      <c r="K3" s="11" t="n">
        <v>0.0038</v>
      </c>
      <c r="L3" s="12" t="n">
        <v>4544.63</v>
      </c>
      <c r="M3" s="11">
        <f>IF(C3&gt;0,L3/C3,"")</f>
        <v/>
      </c>
      <c r="N3" s="13" t="n">
        <v>55.42</v>
      </c>
      <c r="O3" s="14" t="n">
        <v>0</v>
      </c>
      <c r="P3" s="15">
        <f>IF(O3&gt;0,Q3/0.03,0)</f>
        <v/>
      </c>
      <c r="Q3" s="15" t="n">
        <v>0</v>
      </c>
      <c r="R3" s="16" t="n">
        <v>0</v>
      </c>
      <c r="S3" s="15">
        <f>IF(C3&gt;0,R3/C3,"")</f>
        <v/>
      </c>
      <c r="T3" s="17" t="n">
        <v>0</v>
      </c>
      <c r="U3" s="18" t="inlineStr">
        <is>
          <t>Email FR blocks not active; web-only month.</t>
        </is>
      </c>
    </row>
    <row r="4">
      <c r="A4" s="6" t="n">
        <v>2025</v>
      </c>
      <c r="B4" s="6" t="inlineStr">
        <is>
          <t>Jul</t>
        </is>
      </c>
      <c r="C4" s="7" t="n">
        <v>720264.9300000001</v>
      </c>
      <c r="D4" s="7">
        <f>L4+R4</f>
        <v/>
      </c>
      <c r="E4" s="8">
        <f>IF(C4&gt;0,D4/C4,"")</f>
        <v/>
      </c>
      <c r="F4" s="8">
        <f>IFERROR(IF(AND(ISNUMBER(D3),D3&gt;0,ISNUMBER(D4),D4&gt;0),(D4-D3)/D3,""),"")</f>
        <v/>
      </c>
      <c r="G4" s="9" t="n">
        <v>33.64</v>
      </c>
      <c r="H4" s="8" t="n">
        <v>0.0246</v>
      </c>
      <c r="I4" s="10" t="n">
        <v>1245860</v>
      </c>
      <c r="J4" s="11">
        <f>IF(I4&gt;0,K4/0.03,"")</f>
        <v/>
      </c>
      <c r="K4" s="11" t="n">
        <v>0.0014</v>
      </c>
      <c r="L4" s="12" t="n">
        <v>64405.92</v>
      </c>
      <c r="M4" s="11">
        <f>IF(C4&gt;0,L4/C4,"")</f>
        <v/>
      </c>
      <c r="N4" s="13" t="n">
        <v>37.01</v>
      </c>
      <c r="O4" s="14" t="n">
        <v>3799747</v>
      </c>
      <c r="P4" s="15">
        <f>IF(O4&gt;0,Q4/0.03,0)</f>
        <v/>
      </c>
      <c r="Q4" s="15" t="n">
        <v>0.0002</v>
      </c>
      <c r="R4" s="16" t="n">
        <v>17580.83</v>
      </c>
      <c r="S4" s="15">
        <f>IF(C4&gt;0,R4/C4,"")</f>
        <v/>
      </c>
      <c r="T4" s="17" t="n">
        <v>30.68</v>
      </c>
      <c r="U4" s="18" t="inlineStr">
        <is>
          <t>Web revenue scales up; email FR blocks live.</t>
        </is>
      </c>
    </row>
    <row r="5">
      <c r="A5" s="6" t="n">
        <v>2025</v>
      </c>
      <c r="B5" s="6" t="inlineStr">
        <is>
          <t>Aug</t>
        </is>
      </c>
      <c r="C5" s="7" t="n">
        <v>816098.55</v>
      </c>
      <c r="D5" s="7">
        <f>L5+R5</f>
        <v/>
      </c>
      <c r="E5" s="8">
        <f>IF(C5&gt;0,D5/C5,"")</f>
        <v/>
      </c>
      <c r="F5" s="8">
        <f>IFERROR(IF(AND(ISNUMBER(D4),D4&gt;0,ISNUMBER(D5),D5&gt;0),(D5-D4)/D4,""),"")</f>
        <v/>
      </c>
      <c r="G5" s="9" t="n">
        <v>33.58</v>
      </c>
      <c r="H5" s="8" t="n">
        <v>0.0267</v>
      </c>
      <c r="I5" s="10" t="n">
        <v>1391355</v>
      </c>
      <c r="J5" s="11">
        <f>IF(I5&gt;0,K5/0.03,"")</f>
        <v/>
      </c>
      <c r="K5" s="11" t="n">
        <v>0.0005999999999999999</v>
      </c>
      <c r="L5" s="12" t="n">
        <v>18322.53</v>
      </c>
      <c r="M5" s="11">
        <f>IF(C5&gt;0,L5/C5,"")</f>
        <v/>
      </c>
      <c r="N5" s="13" t="n">
        <v>23.46</v>
      </c>
      <c r="O5" s="14" t="n">
        <v>7185406</v>
      </c>
      <c r="P5" s="15">
        <f>IF(O5&gt;0,Q5/0.03,0)</f>
        <v/>
      </c>
      <c r="Q5" s="15" t="n">
        <v>0.0001</v>
      </c>
      <c r="R5" s="16" t="n">
        <v>26699.06</v>
      </c>
      <c r="S5" s="15">
        <f>IF(C5&gt;0,R5/C5,"")</f>
        <v/>
      </c>
      <c r="T5" s="17" t="n">
        <v>34.01</v>
      </c>
      <c r="U5" s="18" t="inlineStr">
        <is>
          <t>Email overtakes web in attributed revenue.</t>
        </is>
      </c>
    </row>
    <row r="6">
      <c r="A6" s="6" t="n">
        <v>2025</v>
      </c>
      <c r="B6" s="6" t="inlineStr">
        <is>
          <t>Sep</t>
        </is>
      </c>
      <c r="C6" s="7" t="n">
        <v>630881.0600000001</v>
      </c>
      <c r="D6" s="7">
        <f>L6+R6</f>
        <v/>
      </c>
      <c r="E6" s="8">
        <f>IF(C6&gt;0,D6/C6,"")</f>
        <v/>
      </c>
      <c r="F6" s="8">
        <f>IFERROR(IF(AND(ISNUMBER(D5),D5&gt;0,ISNUMBER(D6),D6&gt;0),(D6-D5)/D5,""),"")</f>
        <v/>
      </c>
      <c r="G6" s="9" t="n">
        <v>33.67</v>
      </c>
      <c r="H6" s="8" t="n">
        <v>0.0266</v>
      </c>
      <c r="I6" s="10" t="n">
        <v>1554518</v>
      </c>
      <c r="J6" s="11">
        <f>IF(I6&gt;0,K6/0.03,"")</f>
        <v/>
      </c>
      <c r="K6" s="11" t="n">
        <v>0.0004</v>
      </c>
      <c r="L6" s="12" t="n">
        <v>14992.44</v>
      </c>
      <c r="M6" s="11">
        <f>IF(C6&gt;0,L6/C6,"")</f>
        <v/>
      </c>
      <c r="N6" s="13" t="n">
        <v>24.82</v>
      </c>
      <c r="O6" s="14" t="n">
        <v>6593412</v>
      </c>
      <c r="P6" s="15">
        <f>IF(O6&gt;0,Q6/0.03,0)</f>
        <v/>
      </c>
      <c r="Q6" s="15" t="n">
        <v>0.0001</v>
      </c>
      <c r="R6" s="16" t="n">
        <v>17574.32</v>
      </c>
      <c r="S6" s="15">
        <f>IF(C6&gt;0,R6/C6,"")</f>
        <v/>
      </c>
      <c r="T6" s="17" t="n">
        <v>33.99</v>
      </c>
      <c r="U6" s="18" t="inlineStr">
        <is>
          <t>Revenue down vs Aug; web impressions up.</t>
        </is>
      </c>
    </row>
    <row r="7">
      <c r="A7" s="6" t="n">
        <v>2025</v>
      </c>
      <c r="B7" s="6" t="inlineStr">
        <is>
          <t>Oct</t>
        </is>
      </c>
      <c r="C7" s="7" t="n">
        <v>473355.22</v>
      </c>
      <c r="D7" s="7">
        <f>L7+R7</f>
        <v/>
      </c>
      <c r="E7" s="8">
        <f>IF(C7&gt;0,D7/C7,"")</f>
        <v/>
      </c>
      <c r="F7" s="8">
        <f>IFERROR(IF(AND(ISNUMBER(D6),D6&gt;0,ISNUMBER(D7),D7&gt;0),(D7-D6)/D6,""),"")</f>
        <v/>
      </c>
      <c r="G7" s="9" t="n">
        <v>32.26</v>
      </c>
      <c r="H7" s="8" t="n">
        <v>0.0222</v>
      </c>
      <c r="I7" s="10" t="n">
        <v>1181665</v>
      </c>
      <c r="J7" s="11">
        <f>IF(I7&gt;0,K7/0.03,"")</f>
        <v/>
      </c>
      <c r="K7" s="11" t="n">
        <v>0.0004</v>
      </c>
      <c r="L7" s="12" t="n">
        <v>11249.06</v>
      </c>
      <c r="M7" s="11">
        <f>IF(C7&gt;0,L7/C7,"")</f>
        <v/>
      </c>
      <c r="N7" s="13" t="n">
        <v>21.97</v>
      </c>
      <c r="O7" s="14" t="n">
        <v>5901396</v>
      </c>
      <c r="P7" s="15">
        <f>IF(O7&gt;0,Q7/0.03,0)</f>
        <v/>
      </c>
      <c r="Q7" s="15" t="n">
        <v>0.0001</v>
      </c>
      <c r="R7" s="16" t="n">
        <v>10395.11</v>
      </c>
      <c r="S7" s="15">
        <f>IF(C7&gt;0,R7/C7,"")</f>
        <v/>
      </c>
      <c r="T7" s="17" t="n">
        <v>34.31</v>
      </c>
      <c r="U7" s="18" t="inlineStr">
        <is>
          <t>Down vs prior months across channels.</t>
        </is>
      </c>
    </row>
    <row r="8">
      <c r="A8" s="6" t="n">
        <v>2025</v>
      </c>
      <c r="B8" s="6" t="inlineStr">
        <is>
          <t>Nov</t>
        </is>
      </c>
      <c r="C8" s="7" t="n">
        <v>347624.65</v>
      </c>
      <c r="D8" s="7">
        <f>L8+R8</f>
        <v/>
      </c>
      <c r="E8" s="8">
        <f>IF(C8&gt;0,D8/C8,"")</f>
        <v/>
      </c>
      <c r="F8" s="8">
        <f>IFERROR(IF(AND(ISNUMBER(D7),D7&gt;0,ISNUMBER(D8),D8&gt;0),(D8-D7)/D7,""),"")</f>
        <v/>
      </c>
      <c r="G8" s="9" t="n">
        <v>32.25</v>
      </c>
      <c r="H8" s="8" t="n">
        <v>0.0224</v>
      </c>
      <c r="I8" s="10" t="n">
        <v>796807</v>
      </c>
      <c r="J8" s="11">
        <f>IF(I8&gt;0,K8/0.03,"")</f>
        <v/>
      </c>
      <c r="K8" s="11" t="n">
        <v>0.0005</v>
      </c>
      <c r="L8" s="12" t="n">
        <v>9402.59</v>
      </c>
      <c r="M8" s="11">
        <f>IF(C8&gt;0,L8/C8,"")</f>
        <v/>
      </c>
      <c r="N8" s="13" t="n">
        <v>24.94</v>
      </c>
      <c r="O8" s="14" t="n">
        <v>7515711</v>
      </c>
      <c r="P8" s="15">
        <f>IF(O8&gt;0,Q8/0.03,0)</f>
        <v/>
      </c>
      <c r="Q8" s="15" t="n">
        <v>0</v>
      </c>
      <c r="R8" s="16" t="n">
        <v>8413.309999999999</v>
      </c>
      <c r="S8" s="15">
        <f>IF(C8&gt;0,R8/C8,"")</f>
        <v/>
      </c>
      <c r="T8" s="17" t="n">
        <v>35.2</v>
      </c>
      <c r="U8" s="18" t="inlineStr">
        <is>
          <t>Email impressions up; revenue down vs Oct.</t>
        </is>
      </c>
    </row>
    <row r="9">
      <c r="A9" s="6" t="n">
        <v>2025</v>
      </c>
      <c r="B9" s="6" t="inlineStr">
        <is>
          <t>Dec</t>
        </is>
      </c>
      <c r="C9" s="7" t="n">
        <v>363287.36</v>
      </c>
      <c r="D9" s="7">
        <f>L9+R9</f>
        <v/>
      </c>
      <c r="E9" s="8">
        <f>IF(C9&gt;0,D9/C9,"")</f>
        <v/>
      </c>
      <c r="F9" s="8">
        <f>IFERROR(IF(AND(ISNUMBER(D8),D8&gt;0,ISNUMBER(D9),D9&gt;0),(D9-D8)/D8,""),"")</f>
        <v/>
      </c>
      <c r="G9" s="9" t="n">
        <v>23.2</v>
      </c>
      <c r="H9" s="8" t="n">
        <v>0.0429</v>
      </c>
      <c r="I9" s="10" t="n">
        <v>586710</v>
      </c>
      <c r="J9" s="11">
        <f>IF(I9&gt;0,K9/0.03,"")</f>
        <v/>
      </c>
      <c r="K9" s="11" t="n">
        <v>0.0005999999999999999</v>
      </c>
      <c r="L9" s="12" t="n">
        <v>7062.99</v>
      </c>
      <c r="M9" s="11">
        <f>IF(C9&gt;0,L9/C9,"")</f>
        <v/>
      </c>
      <c r="N9" s="13" t="n">
        <v>19.84</v>
      </c>
      <c r="O9" s="14" t="n">
        <v>5207030</v>
      </c>
      <c r="P9" s="15">
        <f>IF(O9&gt;0,Q9/0.03,0)</f>
        <v/>
      </c>
      <c r="Q9" s="15" t="n">
        <v>0</v>
      </c>
      <c r="R9" s="16" t="n">
        <v>6182.28</v>
      </c>
      <c r="S9" s="15">
        <f>IF(C9&gt;0,R9/C9,"")</f>
        <v/>
      </c>
      <c r="T9" s="17" t="n">
        <v>30.01</v>
      </c>
      <c r="U9" s="18" t="inlineStr">
        <is>
          <t>Lowest AOV month in H2 2025.</t>
        </is>
      </c>
    </row>
    <row r="10">
      <c r="A10" s="6" t="n">
        <v>2026</v>
      </c>
      <c r="B10" s="6" t="inlineStr">
        <is>
          <t>Jan</t>
        </is>
      </c>
      <c r="C10" s="7" t="n">
        <v>426480.98</v>
      </c>
      <c r="D10" s="7">
        <f>L10+R10</f>
        <v/>
      </c>
      <c r="E10" s="8">
        <f>IF(C10&gt;0,D10/C10,"")</f>
        <v/>
      </c>
      <c r="F10" s="8">
        <f>IFERROR(IF(AND(ISNUMBER(D9),D9&gt;0,ISNUMBER(D10),D10&gt;0),(D10-D9)/D9,""),"")</f>
        <v/>
      </c>
      <c r="G10" s="9" t="n">
        <v>33.52</v>
      </c>
      <c r="H10" s="8" t="n">
        <v>0.0256</v>
      </c>
      <c r="I10" s="10" t="n">
        <v>1756199</v>
      </c>
      <c r="J10" s="11">
        <f>IF(I10&gt;0,K10/0.03,"")</f>
        <v/>
      </c>
      <c r="K10" s="11" t="n">
        <v>0.0003</v>
      </c>
      <c r="L10" s="12" t="n">
        <v>13343.22</v>
      </c>
      <c r="M10" s="11">
        <f>IF(C10&gt;0,L10/C10,"")</f>
        <v/>
      </c>
      <c r="N10" s="13" t="n">
        <v>30.33</v>
      </c>
      <c r="O10" s="14" t="n">
        <v>6077003</v>
      </c>
      <c r="P10" s="15">
        <f>IF(O10&gt;0,Q10/0.03,0)</f>
        <v/>
      </c>
      <c r="Q10" s="15" t="n">
        <v>0.0001</v>
      </c>
      <c r="R10" s="16" t="n">
        <v>12034.64</v>
      </c>
      <c r="S10" s="15">
        <f>IF(C10&gt;0,R10/C10,"")</f>
        <v/>
      </c>
      <c r="T10" s="17" t="n">
        <v>34.19</v>
      </c>
      <c r="U10" s="18" t="inlineStr">
        <is>
          <t>Web + email baseline month.</t>
        </is>
      </c>
    </row>
    <row r="11">
      <c r="A11" s="6" t="n">
        <v>2026</v>
      </c>
      <c r="B11" s="6" t="inlineStr">
        <is>
          <t>Feb</t>
        </is>
      </c>
      <c r="C11" s="7" t="n">
        <v>702685.35</v>
      </c>
      <c r="D11" s="7">
        <f>L11+R11</f>
        <v/>
      </c>
      <c r="E11" s="8">
        <f>IF(C11&gt;0,D11/C11,"")</f>
        <v/>
      </c>
      <c r="F11" s="8">
        <f>IFERROR(IF(AND(ISNUMBER(D10),D10&gt;0,ISNUMBER(D11),D11&gt;0),(D11-D10)/D10,""),"")</f>
        <v/>
      </c>
      <c r="G11" s="9" t="n">
        <v>34.3</v>
      </c>
      <c r="H11" s="8" t="n">
        <v>0.0364</v>
      </c>
      <c r="I11" s="10" t="n">
        <v>2364555</v>
      </c>
      <c r="J11" s="11">
        <f>IF(I11&gt;0,K11/0.03,"")</f>
        <v/>
      </c>
      <c r="K11" s="11" t="n">
        <v>0.0002</v>
      </c>
      <c r="L11" s="12" t="n">
        <v>11842.22</v>
      </c>
      <c r="M11" s="11">
        <f>IF(C11&gt;0,L11/C11,"")</f>
        <v/>
      </c>
      <c r="N11" s="13" t="n">
        <v>24.12</v>
      </c>
      <c r="O11" s="14" t="n">
        <v>6648876</v>
      </c>
      <c r="P11" s="15">
        <f>IF(O11&gt;0,Q11/0.03,0)</f>
        <v/>
      </c>
      <c r="Q11" s="15" t="n">
        <v>0.0001</v>
      </c>
      <c r="R11" s="16" t="n">
        <v>24657.79</v>
      </c>
      <c r="S11" s="15">
        <f>IF(C11&gt;0,R11/C11,"")</f>
        <v/>
      </c>
      <c r="T11" s="17" t="n">
        <v>33.28</v>
      </c>
      <c r="U11" s="18" t="inlineStr">
        <is>
          <t>Email revenue up; web revenue dipped vs Jan.</t>
        </is>
      </c>
    </row>
    <row r="12">
      <c r="A12" s="6" t="n">
        <v>2026</v>
      </c>
      <c r="B12" s="6" t="inlineStr">
        <is>
          <t>Mar</t>
        </is>
      </c>
      <c r="C12" s="7" t="n">
        <v>1505634.59</v>
      </c>
      <c r="D12" s="7">
        <f>L12+R12</f>
        <v/>
      </c>
      <c r="E12" s="8">
        <f>IF(C12&gt;0,D12/C12,"")</f>
        <v/>
      </c>
      <c r="F12" s="8">
        <f>IFERROR(IF(AND(ISNUMBER(D11),D11&gt;0,ISNUMBER(D12),D12&gt;0),(D12-D11)/D11,""),"")</f>
        <v/>
      </c>
      <c r="G12" s="9" t="n">
        <v>34.67</v>
      </c>
      <c r="H12" s="8" t="n">
        <v>0.0409</v>
      </c>
      <c r="I12" s="10" t="n">
        <v>6553245</v>
      </c>
      <c r="J12" s="11">
        <f>IF(I12&gt;0,K12/0.03,"")</f>
        <v/>
      </c>
      <c r="K12" s="11" t="n">
        <v>0.0002</v>
      </c>
      <c r="L12" s="12" t="n">
        <v>56827.99</v>
      </c>
      <c r="M12" s="11">
        <f>IF(C12&gt;0,L12/C12,"")</f>
        <v/>
      </c>
      <c r="N12" s="13" t="n">
        <v>38.35</v>
      </c>
      <c r="O12" s="14" t="n">
        <v>8129826</v>
      </c>
      <c r="P12" s="15">
        <f>IF(O12&gt;0,Q12/0.03,0)</f>
        <v/>
      </c>
      <c r="Q12" s="15" t="n">
        <v>0.0002</v>
      </c>
      <c r="R12" s="16" t="n">
        <v>42045.6</v>
      </c>
      <c r="S12" s="15">
        <f>IF(C12&gt;0,R12/C12,"")</f>
        <v/>
      </c>
      <c r="T12" s="17" t="n">
        <v>31.05</v>
      </c>
      <c r="U12" s="18" t="inlineStr">
        <is>
          <t>Strong month — web impressions + sales scale up sharply.</t>
        </is>
      </c>
    </row>
    <row r="13">
      <c r="A13" s="6" t="n">
        <v>2026</v>
      </c>
      <c r="B13" s="6" t="inlineStr">
        <is>
          <t>Apr</t>
        </is>
      </c>
      <c r="C13" s="7" t="n">
        <v>1647453.27</v>
      </c>
      <c r="D13" s="7">
        <f>L13+R13</f>
        <v/>
      </c>
      <c r="E13" s="8">
        <f>IF(C13&gt;0,D13/C13,"")</f>
        <v/>
      </c>
      <c r="F13" s="8">
        <f>IFERROR(IF(AND(ISNUMBER(D12),D12&gt;0,ISNUMBER(D13),D13&gt;0),(D13-D12)/D12,""),"")</f>
        <v/>
      </c>
      <c r="G13" s="9" t="n">
        <v>35.33</v>
      </c>
      <c r="H13" s="8" t="n">
        <v>0.0354</v>
      </c>
      <c r="I13" s="10" t="n">
        <v>8633109</v>
      </c>
      <c r="J13" s="11">
        <f>IF(I13&gt;0,K13/0.03,"")</f>
        <v/>
      </c>
      <c r="K13" s="11" t="n">
        <v>0.0002</v>
      </c>
      <c r="L13" s="12" t="n">
        <v>79915.41</v>
      </c>
      <c r="M13" s="11">
        <f>IF(C13&gt;0,L13/C13,"")</f>
        <v/>
      </c>
      <c r="N13" s="13" t="n">
        <v>40.32</v>
      </c>
      <c r="O13" s="14" t="n">
        <v>7834380</v>
      </c>
      <c r="P13" s="15">
        <f>IF(O13&gt;0,Q13/0.03,0)</f>
        <v/>
      </c>
      <c r="Q13" s="15" t="n">
        <v>0.0001</v>
      </c>
      <c r="R13" s="16" t="n">
        <v>37248.79</v>
      </c>
      <c r="S13" s="15">
        <f>IF(C13&gt;0,R13/C13,"")</f>
        <v/>
      </c>
      <c r="T13" s="17" t="n">
        <v>34.33</v>
      </c>
      <c r="U13" s="18" t="inlineStr">
        <is>
          <t>Web peak month — PDP rec slots likely key driver.</t>
        </is>
      </c>
    </row>
    <row r="14">
      <c r="A14" s="6" t="n">
        <v>2026</v>
      </c>
      <c r="B14" s="6" t="inlineStr">
        <is>
          <t>May</t>
        </is>
      </c>
      <c r="C14" s="7" t="n">
        <v>1482893.59</v>
      </c>
      <c r="D14" s="7">
        <f>L14+R14</f>
        <v/>
      </c>
      <c r="E14" s="8">
        <f>IF(C14&gt;0,D14/C14,"")</f>
        <v/>
      </c>
      <c r="F14" s="8">
        <f>IFERROR(IF(AND(ISNUMBER(D13),D13&gt;0,ISNUMBER(D14),D14&gt;0),(D14-D13)/D13,""),"")</f>
        <v/>
      </c>
      <c r="G14" s="9" t="n">
        <v>33.91</v>
      </c>
      <c r="H14" s="8" t="n">
        <v>0.0345</v>
      </c>
      <c r="I14" s="10" t="n">
        <v>9986609</v>
      </c>
      <c r="J14" s="11">
        <f>IF(I14&gt;0,K14/0.03,"")</f>
        <v/>
      </c>
      <c r="K14" s="11" t="n">
        <v>0.0002</v>
      </c>
      <c r="L14" s="12" t="n">
        <v>67552.47</v>
      </c>
      <c r="M14" s="11">
        <f>IF(C14&gt;0,L14/C14,"")</f>
        <v/>
      </c>
      <c r="N14" s="13" t="n">
        <v>37.26</v>
      </c>
      <c r="O14" s="14" t="n">
        <v>8156246</v>
      </c>
      <c r="P14" s="15">
        <f>IF(O14&gt;0,Q14/0.03,0)</f>
        <v/>
      </c>
      <c r="Q14" s="15" t="n">
        <v>0.0001</v>
      </c>
      <c r="R14" s="16" t="n">
        <v>39646.51</v>
      </c>
      <c r="S14" s="15">
        <f>IF(C14&gt;0,R14/C14,"")</f>
        <v/>
      </c>
      <c r="T14" s="17" t="n">
        <v>34.12</v>
      </c>
      <c r="U14" s="18" t="inlineStr">
        <is>
          <t>Site sales down vs Apr; FR share held ~7%.</t>
        </is>
      </c>
    </row>
    <row r="15">
      <c r="A15" s="19" t="n">
        <v>2026</v>
      </c>
      <c r="B15" s="19" t="inlineStr">
        <is>
          <t>Jun (MTD)</t>
        </is>
      </c>
      <c r="C15" s="7" t="n">
        <v>146310.98</v>
      </c>
      <c r="D15" s="7">
        <f>L15+R15</f>
        <v/>
      </c>
      <c r="E15" s="8">
        <f>IF(C15&gt;0,D15/C15,"")</f>
        <v/>
      </c>
      <c r="F15" s="8">
        <f>IFERROR(IF(AND(ISNUMBER(D14),D14&gt;0,ISNUMBER(D15),D15&gt;0),(D15-D14)/D14,""),"")</f>
        <v/>
      </c>
      <c r="G15" s="9" t="n">
        <v>32.39</v>
      </c>
      <c r="H15" s="8" t="n">
        <v>0.037</v>
      </c>
      <c r="I15" s="10" t="n">
        <v>1001962</v>
      </c>
      <c r="J15" s="11">
        <f>IF(I15&gt;0,K15/0.03,"")</f>
        <v/>
      </c>
      <c r="K15" s="11" t="n">
        <v>0.0002</v>
      </c>
      <c r="L15" s="12" t="n">
        <v>5788.3</v>
      </c>
      <c r="M15" s="11">
        <f>IF(C15&gt;0,L15/C15,"")</f>
        <v/>
      </c>
      <c r="N15" s="13" t="n">
        <v>30.31</v>
      </c>
      <c r="O15" s="14" t="n">
        <v>1114215</v>
      </c>
      <c r="P15" s="15">
        <f>IF(O15&gt;0,Q15/0.03,0)</f>
        <v/>
      </c>
      <c r="Q15" s="15" t="n">
        <v>0.0001</v>
      </c>
      <c r="R15" s="16" t="n">
        <v>2473.62</v>
      </c>
      <c r="S15" s="15">
        <f>IF(C15&gt;0,R15/C15,"")</f>
        <v/>
      </c>
      <c r="T15" s="17" t="n">
        <v>31.71</v>
      </c>
      <c r="U15" s="18" t="inlineStr">
        <is>
          <t>MTD only (1–5 Jun) — update when month closes.</t>
        </is>
      </c>
    </row>
    <row r="16">
      <c r="A16" s="6" t="n">
        <v>2026</v>
      </c>
      <c r="B16" s="6" t="inlineStr">
        <is>
          <t>Jul</t>
        </is>
      </c>
      <c r="C16" s="7" t="n"/>
      <c r="D16" s="7">
        <f>L16+R16</f>
        <v/>
      </c>
      <c r="E16" s="8">
        <f>IF(C16&gt;0,D16/C16,"")</f>
        <v/>
      </c>
      <c r="F16" s="8">
        <f>IFERROR(IF(AND(ISNUMBER(D15),D15&gt;0,ISNUMBER(D16),D16&gt;0),(D16-D15)/D15,""),"")</f>
        <v/>
      </c>
      <c r="G16" s="9" t="n"/>
      <c r="H16" s="8" t="n"/>
      <c r="I16" s="10" t="n"/>
      <c r="J16" s="11">
        <f>IF(I16&gt;0,K16/0.03,"")</f>
        <v/>
      </c>
      <c r="K16" s="11" t="n"/>
      <c r="L16" s="12" t="n"/>
      <c r="M16" s="11">
        <f>IF(C16&gt;0,L16/C16,"")</f>
        <v/>
      </c>
      <c r="N16" s="13" t="n"/>
      <c r="O16" s="14" t="n"/>
      <c r="P16" s="15">
        <f>IF(O16&gt;0,Q16/0.03,0)</f>
        <v/>
      </c>
      <c r="Q16" s="15" t="n"/>
      <c r="R16" s="16" t="n"/>
      <c r="S16" s="15">
        <f>IF(C16&gt;0,R16/C16,"")</f>
        <v/>
      </c>
      <c r="T16" s="17" t="n"/>
      <c r="U16" s="18" t="n"/>
    </row>
    <row r="17">
      <c r="A17" s="6" t="n">
        <v>2026</v>
      </c>
      <c r="B17" s="6" t="inlineStr">
        <is>
          <t>Aug</t>
        </is>
      </c>
      <c r="C17" s="7" t="n"/>
      <c r="D17" s="7">
        <f>L17+R17</f>
        <v/>
      </c>
      <c r="E17" s="8">
        <f>IF(C17&gt;0,D17/C17,"")</f>
        <v/>
      </c>
      <c r="F17" s="8">
        <f>IFERROR(IF(AND(ISNUMBER(D16),D16&gt;0,ISNUMBER(D17),D17&gt;0),(D17-D16)/D16,""),"")</f>
        <v/>
      </c>
      <c r="G17" s="9" t="n"/>
      <c r="H17" s="8" t="n"/>
      <c r="I17" s="10" t="n"/>
      <c r="J17" s="11">
        <f>IF(I17&gt;0,K17/0.03,"")</f>
        <v/>
      </c>
      <c r="K17" s="11" t="n"/>
      <c r="L17" s="12" t="n"/>
      <c r="M17" s="11">
        <f>IF(C17&gt;0,L17/C17,"")</f>
        <v/>
      </c>
      <c r="N17" s="13" t="n"/>
      <c r="O17" s="14" t="n"/>
      <c r="P17" s="15">
        <f>IF(O17&gt;0,Q17/0.03,0)</f>
        <v/>
      </c>
      <c r="Q17" s="15" t="n"/>
      <c r="R17" s="16" t="n"/>
      <c r="S17" s="15">
        <f>IF(C17&gt;0,R17/C17,"")</f>
        <v/>
      </c>
      <c r="T17" s="17" t="n"/>
      <c r="U17" s="18" t="n"/>
    </row>
    <row r="18">
      <c r="A18" s="6" t="n">
        <v>2026</v>
      </c>
      <c r="B18" s="6" t="inlineStr">
        <is>
          <t>Sep</t>
        </is>
      </c>
      <c r="C18" s="7" t="n"/>
      <c r="D18" s="7">
        <f>L18+R18</f>
        <v/>
      </c>
      <c r="E18" s="8">
        <f>IF(C18&gt;0,D18/C18,"")</f>
        <v/>
      </c>
      <c r="F18" s="8">
        <f>IFERROR(IF(AND(ISNUMBER(D17),D17&gt;0,ISNUMBER(D18),D18&gt;0),(D18-D17)/D17,""),"")</f>
        <v/>
      </c>
      <c r="G18" s="9" t="n"/>
      <c r="H18" s="8" t="n"/>
      <c r="I18" s="10" t="n"/>
      <c r="J18" s="11">
        <f>IF(I18&gt;0,K18/0.03,"")</f>
        <v/>
      </c>
      <c r="K18" s="11" t="n"/>
      <c r="L18" s="12" t="n"/>
      <c r="M18" s="11">
        <f>IF(C18&gt;0,L18/C18,"")</f>
        <v/>
      </c>
      <c r="N18" s="13" t="n"/>
      <c r="O18" s="14" t="n"/>
      <c r="P18" s="15">
        <f>IF(O18&gt;0,Q18/0.03,0)</f>
        <v/>
      </c>
      <c r="Q18" s="15" t="n"/>
      <c r="R18" s="16" t="n"/>
      <c r="S18" s="15">
        <f>IF(C18&gt;0,R18/C18,"")</f>
        <v/>
      </c>
      <c r="T18" s="17" t="n"/>
      <c r="U18" s="18" t="n"/>
    </row>
    <row r="19">
      <c r="A19" s="6" t="n">
        <v>2026</v>
      </c>
      <c r="B19" s="6" t="inlineStr">
        <is>
          <t>Oct</t>
        </is>
      </c>
      <c r="C19" s="7" t="n"/>
      <c r="D19" s="7">
        <f>L19+R19</f>
        <v/>
      </c>
      <c r="E19" s="8">
        <f>IF(C19&gt;0,D19/C19,"")</f>
        <v/>
      </c>
      <c r="F19" s="8">
        <f>IFERROR(IF(AND(ISNUMBER(D18),D18&gt;0,ISNUMBER(D19),D19&gt;0),(D19-D18)/D18,""),"")</f>
        <v/>
      </c>
      <c r="G19" s="9" t="n"/>
      <c r="H19" s="8" t="n"/>
      <c r="I19" s="10" t="n"/>
      <c r="J19" s="11">
        <f>IF(I19&gt;0,K19/0.03,"")</f>
        <v/>
      </c>
      <c r="K19" s="11" t="n"/>
      <c r="L19" s="12" t="n"/>
      <c r="M19" s="11">
        <f>IF(C19&gt;0,L19/C19,"")</f>
        <v/>
      </c>
      <c r="N19" s="13" t="n"/>
      <c r="O19" s="14" t="n"/>
      <c r="P19" s="15">
        <f>IF(O19&gt;0,Q19/0.03,0)</f>
        <v/>
      </c>
      <c r="Q19" s="15" t="n"/>
      <c r="R19" s="16" t="n"/>
      <c r="S19" s="15">
        <f>IF(C19&gt;0,R19/C19,"")</f>
        <v/>
      </c>
      <c r="T19" s="17" t="n"/>
      <c r="U19" s="18" t="n"/>
    </row>
    <row r="20">
      <c r="A20" s="6" t="n">
        <v>2026</v>
      </c>
      <c r="B20" s="6" t="inlineStr">
        <is>
          <t>Nov</t>
        </is>
      </c>
      <c r="C20" s="7" t="n"/>
      <c r="D20" s="7">
        <f>L20+R20</f>
        <v/>
      </c>
      <c r="E20" s="8">
        <f>IF(C20&gt;0,D20/C20,"")</f>
        <v/>
      </c>
      <c r="F20" s="8">
        <f>IFERROR(IF(AND(ISNUMBER(D19),D19&gt;0,ISNUMBER(D20),D20&gt;0),(D20-D19)/D19,""),"")</f>
        <v/>
      </c>
      <c r="G20" s="9" t="n"/>
      <c r="H20" s="8" t="n"/>
      <c r="I20" s="10" t="n"/>
      <c r="J20" s="11">
        <f>IF(I20&gt;0,K20/0.03,"")</f>
        <v/>
      </c>
      <c r="K20" s="11" t="n"/>
      <c r="L20" s="12" t="n"/>
      <c r="M20" s="11">
        <f>IF(C20&gt;0,L20/C20,"")</f>
        <v/>
      </c>
      <c r="N20" s="13" t="n"/>
      <c r="O20" s="14" t="n"/>
      <c r="P20" s="15">
        <f>IF(O20&gt;0,Q20/0.03,0)</f>
        <v/>
      </c>
      <c r="Q20" s="15" t="n"/>
      <c r="R20" s="16" t="n"/>
      <c r="S20" s="15">
        <f>IF(C20&gt;0,R20/C20,"")</f>
        <v/>
      </c>
      <c r="T20" s="17" t="n"/>
      <c r="U20" s="18" t="n"/>
    </row>
    <row r="21">
      <c r="A21" s="6" t="n">
        <v>2026</v>
      </c>
      <c r="B21" s="6" t="inlineStr">
        <is>
          <t>Dec</t>
        </is>
      </c>
      <c r="C21" s="7" t="n"/>
      <c r="D21" s="7">
        <f>L21+R21</f>
        <v/>
      </c>
      <c r="E21" s="8">
        <f>IF(C21&gt;0,D21/C21,"")</f>
        <v/>
      </c>
      <c r="F21" s="8">
        <f>IFERROR(IF(AND(ISNUMBER(D20),D20&gt;0,ISNUMBER(D21),D21&gt;0),(D21-D20)/D20,""),"")</f>
        <v/>
      </c>
      <c r="G21" s="9" t="n"/>
      <c r="H21" s="8" t="n"/>
      <c r="I21" s="10" t="n"/>
      <c r="J21" s="11">
        <f>IF(I21&gt;0,K21/0.03,"")</f>
        <v/>
      </c>
      <c r="K21" s="11" t="n"/>
      <c r="L21" s="12" t="n"/>
      <c r="M21" s="11">
        <f>IF(C21&gt;0,L21/C21,"")</f>
        <v/>
      </c>
      <c r="N21" s="13" t="n"/>
      <c r="O21" s="14" t="n"/>
      <c r="P21" s="15">
        <f>IF(O21&gt;0,Q21/0.03,0)</f>
        <v/>
      </c>
      <c r="Q21" s="15" t="n"/>
      <c r="R21" s="16" t="n"/>
      <c r="S21" s="15">
        <f>IF(C21&gt;0,R21/C21,"")</f>
        <v/>
      </c>
      <c r="T21" s="17" t="n"/>
      <c r="U21" s="18" t="n"/>
    </row>
    <row r="22">
      <c r="A22" s="20" t="inlineStr"/>
      <c r="B22" s="20" t="inlineStr">
        <is>
          <t>Period Total</t>
        </is>
      </c>
      <c r="C22" s="21">
        <f>SUM(C3:C15)</f>
        <v/>
      </c>
      <c r="D22" s="21">
        <f>SUM(D3:D15)</f>
        <v/>
      </c>
      <c r="E22" s="22">
        <f>IF(C22&gt;0,D22/C22,"")</f>
        <v/>
      </c>
      <c r="F22" s="22">
        <f>IFERROR(IF(AND(ISNUMBER(D3),D3&gt;0,ISNUMBER(D15),D15&gt;0),(D15-D3)/D3,""),"")</f>
        <v/>
      </c>
      <c r="G22" s="23">
        <f>IF(SUM(C3:C15)&gt;0,SUMPRODUCT(C3:C15,G3:G15)/SUM(C3:C15),"")</f>
        <v/>
      </c>
      <c r="H22" s="22">
        <f>IF(SUM(C3:C15)&gt;0,SUMPRODUCT(C3:C15,H3:H15)/SUM(C3:C15),"")</f>
        <v/>
      </c>
      <c r="I22" s="24">
        <f>SUM(I3:I15)</f>
        <v/>
      </c>
      <c r="J22" s="25">
        <f>IF(SUM(I3:I15)&gt;0,SUMPRODUCT(I3:I15,K3:K15)/SUM(I3:I15)/0.03,"")</f>
        <v/>
      </c>
      <c r="K22" s="25">
        <f>IF(SUM(I3:I15)&gt;0,SUMPRODUCT(I3:I15,K3:K15)/SUM(I3:I15),"")</f>
        <v/>
      </c>
      <c r="L22" s="26">
        <f>SUM(L3:L15)</f>
        <v/>
      </c>
      <c r="M22" s="25">
        <f>IF(C22&gt;0,L22/C22,"")</f>
        <v/>
      </c>
      <c r="N22" s="27">
        <f>IF(SUM(L3:L15)&gt;0,SUMPRODUCT(L3:L15,N3:N15)/SUM(L3:L15),"")</f>
        <v/>
      </c>
      <c r="O22" s="28">
        <f>SUM(O3:O15)</f>
        <v/>
      </c>
      <c r="P22" s="29">
        <f>IF(SUM(O3:O15)&gt;0,SUMPRODUCT(O3:O15,Q3:Q15)/SUM(O3:O15)/0.03,"")</f>
        <v/>
      </c>
      <c r="Q22" s="29">
        <f>IF(SUM(O3:O15)&gt;0,SUMPRODUCT(O3:O15,Q3:Q15)/SUM(O3:O15),"")</f>
        <v/>
      </c>
      <c r="R22" s="30">
        <f>SUM(R3:R15)</f>
        <v/>
      </c>
      <c r="S22" s="29">
        <f>IF(C22&gt;0,R22/C22,"")</f>
        <v/>
      </c>
      <c r="T22" s="31">
        <f>IF(SUM(R3:R15)&gt;0,SUMPRODUCT(R3:R15,T3:T15)/SUM(R3:R15),"")</f>
        <v/>
      </c>
      <c r="U22" s="32" t="inlineStr">
        <is>
          <t>Jun 2025 – Jun 2026 MTD. F = FR growth Jun'25→Jun'26. Attribution: 24h.</t>
        </is>
      </c>
    </row>
  </sheetData>
  <mergeCells count="5">
    <mergeCell ref="O1:T1"/>
    <mergeCell ref="I1:N1"/>
    <mergeCell ref="A1:B1"/>
    <mergeCell ref="U1"/>
    <mergeCell ref="C1:H1"/>
  </mergeCells>
  <conditionalFormatting sqref="C4">
    <cfRule type="expression" priority="1" dxfId="0">
      <formula>AND(ISNUMBER(C4),ISNUMBER(C3),C4&gt;C3)</formula>
    </cfRule>
    <cfRule type="expression" priority="2" dxfId="1">
      <formula>AND(ISNUMBER(C4),ISNUMBER(C3),C4&lt;C3)</formula>
    </cfRule>
  </conditionalFormatting>
  <conditionalFormatting sqref="C5">
    <cfRule type="expression" priority="3" dxfId="0">
      <formula>AND(ISNUMBER(C5),ISNUMBER(C4),C5&gt;C4)</formula>
    </cfRule>
    <cfRule type="expression" priority="4" dxfId="1">
      <formula>AND(ISNUMBER(C5),ISNUMBER(C4),C5&lt;C4)</formula>
    </cfRule>
  </conditionalFormatting>
  <conditionalFormatting sqref="C6">
    <cfRule type="expression" priority="5" dxfId="0">
      <formula>AND(ISNUMBER(C6),ISNUMBER(C5),C6&gt;C5)</formula>
    </cfRule>
    <cfRule type="expression" priority="6" dxfId="1">
      <formula>AND(ISNUMBER(C6),ISNUMBER(C5),C6&lt;C5)</formula>
    </cfRule>
  </conditionalFormatting>
  <conditionalFormatting sqref="C7">
    <cfRule type="expression" priority="7" dxfId="0">
      <formula>AND(ISNUMBER(C7),ISNUMBER(C6),C7&gt;C6)</formula>
    </cfRule>
    <cfRule type="expression" priority="8" dxfId="1">
      <formula>AND(ISNUMBER(C7),ISNUMBER(C6),C7&lt;C6)</formula>
    </cfRule>
  </conditionalFormatting>
  <conditionalFormatting sqref="C8">
    <cfRule type="expression" priority="9" dxfId="0">
      <formula>AND(ISNUMBER(C8),ISNUMBER(C7),C8&gt;C7)</formula>
    </cfRule>
    <cfRule type="expression" priority="10" dxfId="1">
      <formula>AND(ISNUMBER(C8),ISNUMBER(C7),C8&lt;C7)</formula>
    </cfRule>
  </conditionalFormatting>
  <conditionalFormatting sqref="C9">
    <cfRule type="expression" priority="11" dxfId="0">
      <formula>AND(ISNUMBER(C9),ISNUMBER(C8),C9&gt;C8)</formula>
    </cfRule>
    <cfRule type="expression" priority="12" dxfId="1">
      <formula>AND(ISNUMBER(C9),ISNUMBER(C8),C9&lt;C8)</formula>
    </cfRule>
  </conditionalFormatting>
  <conditionalFormatting sqref="C10">
    <cfRule type="expression" priority="13" dxfId="0">
      <formula>AND(ISNUMBER(C10),ISNUMBER(C9),C10&gt;C9)</formula>
    </cfRule>
    <cfRule type="expression" priority="14" dxfId="1">
      <formula>AND(ISNUMBER(C10),ISNUMBER(C9),C10&lt;C9)</formula>
    </cfRule>
  </conditionalFormatting>
  <conditionalFormatting sqref="C11">
    <cfRule type="expression" priority="15" dxfId="0">
      <formula>AND(ISNUMBER(C11),ISNUMBER(C10),C11&gt;C10)</formula>
    </cfRule>
    <cfRule type="expression" priority="16" dxfId="1">
      <formula>AND(ISNUMBER(C11),ISNUMBER(C10),C11&lt;C10)</formula>
    </cfRule>
  </conditionalFormatting>
  <conditionalFormatting sqref="C12">
    <cfRule type="expression" priority="17" dxfId="0">
      <formula>AND(ISNUMBER(C12),ISNUMBER(C11),C12&gt;C11)</formula>
    </cfRule>
    <cfRule type="expression" priority="18" dxfId="1">
      <formula>AND(ISNUMBER(C12),ISNUMBER(C11),C12&lt;C11)</formula>
    </cfRule>
  </conditionalFormatting>
  <conditionalFormatting sqref="C13">
    <cfRule type="expression" priority="19" dxfId="0">
      <formula>AND(ISNUMBER(C13),ISNUMBER(C12),C13&gt;C12)</formula>
    </cfRule>
    <cfRule type="expression" priority="20" dxfId="1">
      <formula>AND(ISNUMBER(C13),ISNUMBER(C12),C13&lt;C12)</formula>
    </cfRule>
  </conditionalFormatting>
  <conditionalFormatting sqref="C14">
    <cfRule type="expression" priority="21" dxfId="0">
      <formula>AND(ISNUMBER(C14),ISNUMBER(C13),C14&gt;C13)</formula>
    </cfRule>
    <cfRule type="expression" priority="22" dxfId="1">
      <formula>AND(ISNUMBER(C14),ISNUMBER(C13),C14&lt;C13)</formula>
    </cfRule>
  </conditionalFormatting>
  <conditionalFormatting sqref="C15">
    <cfRule type="expression" priority="23" dxfId="0">
      <formula>AND(ISNUMBER(C15),ISNUMBER(C14),C15&gt;C14)</formula>
    </cfRule>
    <cfRule type="expression" priority="24" dxfId="1">
      <formula>AND(ISNUMBER(C15),ISNUMBER(C14),C15&lt;C14)</formula>
    </cfRule>
  </conditionalFormatting>
  <conditionalFormatting sqref="D4">
    <cfRule type="expression" priority="25" dxfId="0">
      <formula>AND(ISNUMBER(D4),ISNUMBER(D3),D4&gt;D3)</formula>
    </cfRule>
    <cfRule type="expression" priority="26" dxfId="1">
      <formula>AND(ISNUMBER(D4),ISNUMBER(D3),D4&lt;D3)</formula>
    </cfRule>
  </conditionalFormatting>
  <conditionalFormatting sqref="D5">
    <cfRule type="expression" priority="27" dxfId="0">
      <formula>AND(ISNUMBER(D5),ISNUMBER(D4),D5&gt;D4)</formula>
    </cfRule>
    <cfRule type="expression" priority="28" dxfId="1">
      <formula>AND(ISNUMBER(D5),ISNUMBER(D4),D5&lt;D4)</formula>
    </cfRule>
  </conditionalFormatting>
  <conditionalFormatting sqref="D6">
    <cfRule type="expression" priority="29" dxfId="0">
      <formula>AND(ISNUMBER(D6),ISNUMBER(D5),D6&gt;D5)</formula>
    </cfRule>
    <cfRule type="expression" priority="30" dxfId="1">
      <formula>AND(ISNUMBER(D6),ISNUMBER(D5),D6&lt;D5)</formula>
    </cfRule>
  </conditionalFormatting>
  <conditionalFormatting sqref="D7">
    <cfRule type="expression" priority="31" dxfId="0">
      <formula>AND(ISNUMBER(D7),ISNUMBER(D6),D7&gt;D6)</formula>
    </cfRule>
    <cfRule type="expression" priority="32" dxfId="1">
      <formula>AND(ISNUMBER(D7),ISNUMBER(D6),D7&lt;D6)</formula>
    </cfRule>
  </conditionalFormatting>
  <conditionalFormatting sqref="D8">
    <cfRule type="expression" priority="33" dxfId="0">
      <formula>AND(ISNUMBER(D8),ISNUMBER(D7),D8&gt;D7)</formula>
    </cfRule>
    <cfRule type="expression" priority="34" dxfId="1">
      <formula>AND(ISNUMBER(D8),ISNUMBER(D7),D8&lt;D7)</formula>
    </cfRule>
  </conditionalFormatting>
  <conditionalFormatting sqref="D9">
    <cfRule type="expression" priority="35" dxfId="0">
      <formula>AND(ISNUMBER(D9),ISNUMBER(D8),D9&gt;D8)</formula>
    </cfRule>
    <cfRule type="expression" priority="36" dxfId="1">
      <formula>AND(ISNUMBER(D9),ISNUMBER(D8),D9&lt;D8)</formula>
    </cfRule>
  </conditionalFormatting>
  <conditionalFormatting sqref="D10">
    <cfRule type="expression" priority="37" dxfId="0">
      <formula>AND(ISNUMBER(D10),ISNUMBER(D9),D10&gt;D9)</formula>
    </cfRule>
    <cfRule type="expression" priority="38" dxfId="1">
      <formula>AND(ISNUMBER(D10),ISNUMBER(D9),D10&lt;D9)</formula>
    </cfRule>
  </conditionalFormatting>
  <conditionalFormatting sqref="D11">
    <cfRule type="expression" priority="39" dxfId="0">
      <formula>AND(ISNUMBER(D11),ISNUMBER(D10),D11&gt;D10)</formula>
    </cfRule>
    <cfRule type="expression" priority="40" dxfId="1">
      <formula>AND(ISNUMBER(D11),ISNUMBER(D10),D11&lt;D10)</formula>
    </cfRule>
  </conditionalFormatting>
  <conditionalFormatting sqref="D12">
    <cfRule type="expression" priority="41" dxfId="0">
      <formula>AND(ISNUMBER(D12),ISNUMBER(D11),D12&gt;D11)</formula>
    </cfRule>
    <cfRule type="expression" priority="42" dxfId="1">
      <formula>AND(ISNUMBER(D12),ISNUMBER(D11),D12&lt;D11)</formula>
    </cfRule>
  </conditionalFormatting>
  <conditionalFormatting sqref="D13">
    <cfRule type="expression" priority="43" dxfId="0">
      <formula>AND(ISNUMBER(D13),ISNUMBER(D12),D13&gt;D12)</formula>
    </cfRule>
    <cfRule type="expression" priority="44" dxfId="1">
      <formula>AND(ISNUMBER(D13),ISNUMBER(D12),D13&lt;D12)</formula>
    </cfRule>
  </conditionalFormatting>
  <conditionalFormatting sqref="D14">
    <cfRule type="expression" priority="45" dxfId="0">
      <formula>AND(ISNUMBER(D14),ISNUMBER(D13),D14&gt;D13)</formula>
    </cfRule>
    <cfRule type="expression" priority="46" dxfId="1">
      <formula>AND(ISNUMBER(D14),ISNUMBER(D13),D14&lt;D13)</formula>
    </cfRule>
  </conditionalFormatting>
  <conditionalFormatting sqref="D15">
    <cfRule type="expression" priority="47" dxfId="0">
      <formula>AND(ISNUMBER(D15),ISNUMBER(D14),D15&gt;D14)</formula>
    </cfRule>
    <cfRule type="expression" priority="48" dxfId="1">
      <formula>AND(ISNUMBER(D15),ISNUMBER(D14),D15&lt;D14)</formula>
    </cfRule>
  </conditionalFormatting>
  <conditionalFormatting sqref="E4">
    <cfRule type="expression" priority="49" dxfId="0">
      <formula>AND(ISNUMBER(E4),ISNUMBER(E3),E4&gt;E3)</formula>
    </cfRule>
    <cfRule type="expression" priority="50" dxfId="1">
      <formula>AND(ISNUMBER(E4),ISNUMBER(E3),E4&lt;E3)</formula>
    </cfRule>
  </conditionalFormatting>
  <conditionalFormatting sqref="E5">
    <cfRule type="expression" priority="51" dxfId="0">
      <formula>AND(ISNUMBER(E5),ISNUMBER(E4),E5&gt;E4)</formula>
    </cfRule>
    <cfRule type="expression" priority="52" dxfId="1">
      <formula>AND(ISNUMBER(E5),ISNUMBER(E4),E5&lt;E4)</formula>
    </cfRule>
  </conditionalFormatting>
  <conditionalFormatting sqref="E6">
    <cfRule type="expression" priority="53" dxfId="0">
      <formula>AND(ISNUMBER(E6),ISNUMBER(E5),E6&gt;E5)</formula>
    </cfRule>
    <cfRule type="expression" priority="54" dxfId="1">
      <formula>AND(ISNUMBER(E6),ISNUMBER(E5),E6&lt;E5)</formula>
    </cfRule>
  </conditionalFormatting>
  <conditionalFormatting sqref="E7">
    <cfRule type="expression" priority="55" dxfId="0">
      <formula>AND(ISNUMBER(E7),ISNUMBER(E6),E7&gt;E6)</formula>
    </cfRule>
    <cfRule type="expression" priority="56" dxfId="1">
      <formula>AND(ISNUMBER(E7),ISNUMBER(E6),E7&lt;E6)</formula>
    </cfRule>
  </conditionalFormatting>
  <conditionalFormatting sqref="E8">
    <cfRule type="expression" priority="57" dxfId="0">
      <formula>AND(ISNUMBER(E8),ISNUMBER(E7),E8&gt;E7)</formula>
    </cfRule>
    <cfRule type="expression" priority="58" dxfId="1">
      <formula>AND(ISNUMBER(E8),ISNUMBER(E7),E8&lt;E7)</formula>
    </cfRule>
  </conditionalFormatting>
  <conditionalFormatting sqref="E9">
    <cfRule type="expression" priority="59" dxfId="0">
      <formula>AND(ISNUMBER(E9),ISNUMBER(E8),E9&gt;E8)</formula>
    </cfRule>
    <cfRule type="expression" priority="60" dxfId="1">
      <formula>AND(ISNUMBER(E9),ISNUMBER(E8),E9&lt;E8)</formula>
    </cfRule>
  </conditionalFormatting>
  <conditionalFormatting sqref="E10">
    <cfRule type="expression" priority="61" dxfId="0">
      <formula>AND(ISNUMBER(E10),ISNUMBER(E9),E10&gt;E9)</formula>
    </cfRule>
    <cfRule type="expression" priority="62" dxfId="1">
      <formula>AND(ISNUMBER(E10),ISNUMBER(E9),E10&lt;E9)</formula>
    </cfRule>
  </conditionalFormatting>
  <conditionalFormatting sqref="E11">
    <cfRule type="expression" priority="63" dxfId="0">
      <formula>AND(ISNUMBER(E11),ISNUMBER(E10),E11&gt;E10)</formula>
    </cfRule>
    <cfRule type="expression" priority="64" dxfId="1">
      <formula>AND(ISNUMBER(E11),ISNUMBER(E10),E11&lt;E10)</formula>
    </cfRule>
  </conditionalFormatting>
  <conditionalFormatting sqref="E12">
    <cfRule type="expression" priority="65" dxfId="0">
      <formula>AND(ISNUMBER(E12),ISNUMBER(E11),E12&gt;E11)</formula>
    </cfRule>
    <cfRule type="expression" priority="66" dxfId="1">
      <formula>AND(ISNUMBER(E12),ISNUMBER(E11),E12&lt;E11)</formula>
    </cfRule>
  </conditionalFormatting>
  <conditionalFormatting sqref="E13">
    <cfRule type="expression" priority="67" dxfId="0">
      <formula>AND(ISNUMBER(E13),ISNUMBER(E12),E13&gt;E12)</formula>
    </cfRule>
    <cfRule type="expression" priority="68" dxfId="1">
      <formula>AND(ISNUMBER(E13),ISNUMBER(E12),E13&lt;E12)</formula>
    </cfRule>
  </conditionalFormatting>
  <conditionalFormatting sqref="E14">
    <cfRule type="expression" priority="69" dxfId="0">
      <formula>AND(ISNUMBER(E14),ISNUMBER(E13),E14&gt;E13)</formula>
    </cfRule>
    <cfRule type="expression" priority="70" dxfId="1">
      <formula>AND(ISNUMBER(E14),ISNUMBER(E13),E14&lt;E13)</formula>
    </cfRule>
  </conditionalFormatting>
  <conditionalFormatting sqref="E15">
    <cfRule type="expression" priority="71" dxfId="0">
      <formula>AND(ISNUMBER(E15),ISNUMBER(E14),E15&gt;E14)</formula>
    </cfRule>
    <cfRule type="expression" priority="72" dxfId="1">
      <formula>AND(ISNUMBER(E15),ISNUMBER(E14),E15&lt;E14)</formula>
    </cfRule>
  </conditionalFormatting>
  <conditionalFormatting sqref="G4">
    <cfRule type="expression" priority="73" dxfId="0">
      <formula>AND(ISNUMBER(G4),ISNUMBER(G3),G4&gt;G3)</formula>
    </cfRule>
    <cfRule type="expression" priority="74" dxfId="1">
      <formula>AND(ISNUMBER(G4),ISNUMBER(G3),G4&lt;G3)</formula>
    </cfRule>
  </conditionalFormatting>
  <conditionalFormatting sqref="G5">
    <cfRule type="expression" priority="75" dxfId="0">
      <formula>AND(ISNUMBER(G5),ISNUMBER(G4),G5&gt;G4)</formula>
    </cfRule>
    <cfRule type="expression" priority="76" dxfId="1">
      <formula>AND(ISNUMBER(G5),ISNUMBER(G4),G5&lt;G4)</formula>
    </cfRule>
  </conditionalFormatting>
  <conditionalFormatting sqref="G6">
    <cfRule type="expression" priority="77" dxfId="0">
      <formula>AND(ISNUMBER(G6),ISNUMBER(G5),G6&gt;G5)</formula>
    </cfRule>
    <cfRule type="expression" priority="78" dxfId="1">
      <formula>AND(ISNUMBER(G6),ISNUMBER(G5),G6&lt;G5)</formula>
    </cfRule>
  </conditionalFormatting>
  <conditionalFormatting sqref="G7">
    <cfRule type="expression" priority="79" dxfId="0">
      <formula>AND(ISNUMBER(G7),ISNUMBER(G6),G7&gt;G6)</formula>
    </cfRule>
    <cfRule type="expression" priority="80" dxfId="1">
      <formula>AND(ISNUMBER(G7),ISNUMBER(G6),G7&lt;G6)</formula>
    </cfRule>
  </conditionalFormatting>
  <conditionalFormatting sqref="G8">
    <cfRule type="expression" priority="81" dxfId="0">
      <formula>AND(ISNUMBER(G8),ISNUMBER(G7),G8&gt;G7)</formula>
    </cfRule>
    <cfRule type="expression" priority="82" dxfId="1">
      <formula>AND(ISNUMBER(G8),ISNUMBER(G7),G8&lt;G7)</formula>
    </cfRule>
  </conditionalFormatting>
  <conditionalFormatting sqref="G9">
    <cfRule type="expression" priority="83" dxfId="0">
      <formula>AND(ISNUMBER(G9),ISNUMBER(G8),G9&gt;G8)</formula>
    </cfRule>
    <cfRule type="expression" priority="84" dxfId="1">
      <formula>AND(ISNUMBER(G9),ISNUMBER(G8),G9&lt;G8)</formula>
    </cfRule>
  </conditionalFormatting>
  <conditionalFormatting sqref="G10">
    <cfRule type="expression" priority="85" dxfId="0">
      <formula>AND(ISNUMBER(G10),ISNUMBER(G9),G10&gt;G9)</formula>
    </cfRule>
    <cfRule type="expression" priority="86" dxfId="1">
      <formula>AND(ISNUMBER(G10),ISNUMBER(G9),G10&lt;G9)</formula>
    </cfRule>
  </conditionalFormatting>
  <conditionalFormatting sqref="G11">
    <cfRule type="expression" priority="87" dxfId="0">
      <formula>AND(ISNUMBER(G11),ISNUMBER(G10),G11&gt;G10)</formula>
    </cfRule>
    <cfRule type="expression" priority="88" dxfId="1">
      <formula>AND(ISNUMBER(G11),ISNUMBER(G10),G11&lt;G10)</formula>
    </cfRule>
  </conditionalFormatting>
  <conditionalFormatting sqref="G12">
    <cfRule type="expression" priority="89" dxfId="0">
      <formula>AND(ISNUMBER(G12),ISNUMBER(G11),G12&gt;G11)</formula>
    </cfRule>
    <cfRule type="expression" priority="90" dxfId="1">
      <formula>AND(ISNUMBER(G12),ISNUMBER(G11),G12&lt;G11)</formula>
    </cfRule>
  </conditionalFormatting>
  <conditionalFormatting sqref="G13">
    <cfRule type="expression" priority="91" dxfId="0">
      <formula>AND(ISNUMBER(G13),ISNUMBER(G12),G13&gt;G12)</formula>
    </cfRule>
    <cfRule type="expression" priority="92" dxfId="1">
      <formula>AND(ISNUMBER(G13),ISNUMBER(G12),G13&lt;G12)</formula>
    </cfRule>
  </conditionalFormatting>
  <conditionalFormatting sqref="G14">
    <cfRule type="expression" priority="93" dxfId="0">
      <formula>AND(ISNUMBER(G14),ISNUMBER(G13),G14&gt;G13)</formula>
    </cfRule>
    <cfRule type="expression" priority="94" dxfId="1">
      <formula>AND(ISNUMBER(G14),ISNUMBER(G13),G14&lt;G13)</formula>
    </cfRule>
  </conditionalFormatting>
  <conditionalFormatting sqref="G15">
    <cfRule type="expression" priority="95" dxfId="0">
      <formula>AND(ISNUMBER(G15),ISNUMBER(G14),G15&gt;G14)</formula>
    </cfRule>
    <cfRule type="expression" priority="96" dxfId="1">
      <formula>AND(ISNUMBER(G15),ISNUMBER(G14),G15&lt;G14)</formula>
    </cfRule>
  </conditionalFormatting>
  <conditionalFormatting sqref="H4">
    <cfRule type="expression" priority="97" dxfId="0">
      <formula>AND(ISNUMBER(H4),ISNUMBER(H3),H4&gt;H3)</formula>
    </cfRule>
    <cfRule type="expression" priority="98" dxfId="1">
      <formula>AND(ISNUMBER(H4),ISNUMBER(H3),H4&lt;H3)</formula>
    </cfRule>
  </conditionalFormatting>
  <conditionalFormatting sqref="H5">
    <cfRule type="expression" priority="99" dxfId="0">
      <formula>AND(ISNUMBER(H5),ISNUMBER(H4),H5&gt;H4)</formula>
    </cfRule>
    <cfRule type="expression" priority="100" dxfId="1">
      <formula>AND(ISNUMBER(H5),ISNUMBER(H4),H5&lt;H4)</formula>
    </cfRule>
  </conditionalFormatting>
  <conditionalFormatting sqref="H6">
    <cfRule type="expression" priority="101" dxfId="0">
      <formula>AND(ISNUMBER(H6),ISNUMBER(H5),H6&gt;H5)</formula>
    </cfRule>
    <cfRule type="expression" priority="102" dxfId="1">
      <formula>AND(ISNUMBER(H6),ISNUMBER(H5),H6&lt;H5)</formula>
    </cfRule>
  </conditionalFormatting>
  <conditionalFormatting sqref="H7">
    <cfRule type="expression" priority="103" dxfId="0">
      <formula>AND(ISNUMBER(H7),ISNUMBER(H6),H7&gt;H6)</formula>
    </cfRule>
    <cfRule type="expression" priority="104" dxfId="1">
      <formula>AND(ISNUMBER(H7),ISNUMBER(H6),H7&lt;H6)</formula>
    </cfRule>
  </conditionalFormatting>
  <conditionalFormatting sqref="H8">
    <cfRule type="expression" priority="105" dxfId="0">
      <formula>AND(ISNUMBER(H8),ISNUMBER(H7),H8&gt;H7)</formula>
    </cfRule>
    <cfRule type="expression" priority="106" dxfId="1">
      <formula>AND(ISNUMBER(H8),ISNUMBER(H7),H8&lt;H7)</formula>
    </cfRule>
  </conditionalFormatting>
  <conditionalFormatting sqref="H9">
    <cfRule type="expression" priority="107" dxfId="0">
      <formula>AND(ISNUMBER(H9),ISNUMBER(H8),H9&gt;H8)</formula>
    </cfRule>
    <cfRule type="expression" priority="108" dxfId="1">
      <formula>AND(ISNUMBER(H9),ISNUMBER(H8),H9&lt;H8)</formula>
    </cfRule>
  </conditionalFormatting>
  <conditionalFormatting sqref="H10">
    <cfRule type="expression" priority="109" dxfId="0">
      <formula>AND(ISNUMBER(H10),ISNUMBER(H9),H10&gt;H9)</formula>
    </cfRule>
    <cfRule type="expression" priority="110" dxfId="1">
      <formula>AND(ISNUMBER(H10),ISNUMBER(H9),H10&lt;H9)</formula>
    </cfRule>
  </conditionalFormatting>
  <conditionalFormatting sqref="H11">
    <cfRule type="expression" priority="111" dxfId="0">
      <formula>AND(ISNUMBER(H11),ISNUMBER(H10),H11&gt;H10)</formula>
    </cfRule>
    <cfRule type="expression" priority="112" dxfId="1">
      <formula>AND(ISNUMBER(H11),ISNUMBER(H10),H11&lt;H10)</formula>
    </cfRule>
  </conditionalFormatting>
  <conditionalFormatting sqref="H12">
    <cfRule type="expression" priority="113" dxfId="0">
      <formula>AND(ISNUMBER(H12),ISNUMBER(H11),H12&gt;H11)</formula>
    </cfRule>
    <cfRule type="expression" priority="114" dxfId="1">
      <formula>AND(ISNUMBER(H12),ISNUMBER(H11),H12&lt;H11)</formula>
    </cfRule>
  </conditionalFormatting>
  <conditionalFormatting sqref="H13">
    <cfRule type="expression" priority="115" dxfId="0">
      <formula>AND(ISNUMBER(H13),ISNUMBER(H12),H13&gt;H12)</formula>
    </cfRule>
    <cfRule type="expression" priority="116" dxfId="1">
      <formula>AND(ISNUMBER(H13),ISNUMBER(H12),H13&lt;H12)</formula>
    </cfRule>
  </conditionalFormatting>
  <conditionalFormatting sqref="H14">
    <cfRule type="expression" priority="117" dxfId="0">
      <formula>AND(ISNUMBER(H14),ISNUMBER(H13),H14&gt;H13)</formula>
    </cfRule>
    <cfRule type="expression" priority="118" dxfId="1">
      <formula>AND(ISNUMBER(H14),ISNUMBER(H13),H14&lt;H13)</formula>
    </cfRule>
  </conditionalFormatting>
  <conditionalFormatting sqref="H15">
    <cfRule type="expression" priority="119" dxfId="0">
      <formula>AND(ISNUMBER(H15),ISNUMBER(H14),H15&gt;H14)</formula>
    </cfRule>
    <cfRule type="expression" priority="120" dxfId="1">
      <formula>AND(ISNUMBER(H15),ISNUMBER(H14),H15&lt;H14)</formula>
    </cfRule>
  </conditionalFormatting>
  <conditionalFormatting sqref="I4">
    <cfRule type="expression" priority="121" dxfId="0">
      <formula>AND(ISNUMBER(I4),ISNUMBER(I3),I4&gt;I3)</formula>
    </cfRule>
    <cfRule type="expression" priority="122" dxfId="1">
      <formula>AND(ISNUMBER(I4),ISNUMBER(I3),I4&lt;I3)</formula>
    </cfRule>
  </conditionalFormatting>
  <conditionalFormatting sqref="I5">
    <cfRule type="expression" priority="123" dxfId="0">
      <formula>AND(ISNUMBER(I5),ISNUMBER(I4),I5&gt;I4)</formula>
    </cfRule>
    <cfRule type="expression" priority="124" dxfId="1">
      <formula>AND(ISNUMBER(I5),ISNUMBER(I4),I5&lt;I4)</formula>
    </cfRule>
  </conditionalFormatting>
  <conditionalFormatting sqref="I6">
    <cfRule type="expression" priority="125" dxfId="0">
      <formula>AND(ISNUMBER(I6),ISNUMBER(I5),I6&gt;I5)</formula>
    </cfRule>
    <cfRule type="expression" priority="126" dxfId="1">
      <formula>AND(ISNUMBER(I6),ISNUMBER(I5),I6&lt;I5)</formula>
    </cfRule>
  </conditionalFormatting>
  <conditionalFormatting sqref="I7">
    <cfRule type="expression" priority="127" dxfId="0">
      <formula>AND(ISNUMBER(I7),ISNUMBER(I6),I7&gt;I6)</formula>
    </cfRule>
    <cfRule type="expression" priority="128" dxfId="1">
      <formula>AND(ISNUMBER(I7),ISNUMBER(I6),I7&lt;I6)</formula>
    </cfRule>
  </conditionalFormatting>
  <conditionalFormatting sqref="I8">
    <cfRule type="expression" priority="129" dxfId="0">
      <formula>AND(ISNUMBER(I8),ISNUMBER(I7),I8&gt;I7)</formula>
    </cfRule>
    <cfRule type="expression" priority="130" dxfId="1">
      <formula>AND(ISNUMBER(I8),ISNUMBER(I7),I8&lt;I7)</formula>
    </cfRule>
  </conditionalFormatting>
  <conditionalFormatting sqref="I9">
    <cfRule type="expression" priority="131" dxfId="0">
      <formula>AND(ISNUMBER(I9),ISNUMBER(I8),I9&gt;I8)</formula>
    </cfRule>
    <cfRule type="expression" priority="132" dxfId="1">
      <formula>AND(ISNUMBER(I9),ISNUMBER(I8),I9&lt;I8)</formula>
    </cfRule>
  </conditionalFormatting>
  <conditionalFormatting sqref="I10">
    <cfRule type="expression" priority="133" dxfId="0">
      <formula>AND(ISNUMBER(I10),ISNUMBER(I9),I10&gt;I9)</formula>
    </cfRule>
    <cfRule type="expression" priority="134" dxfId="1">
      <formula>AND(ISNUMBER(I10),ISNUMBER(I9),I10&lt;I9)</formula>
    </cfRule>
  </conditionalFormatting>
  <conditionalFormatting sqref="I11">
    <cfRule type="expression" priority="135" dxfId="0">
      <formula>AND(ISNUMBER(I11),ISNUMBER(I10),I11&gt;I10)</formula>
    </cfRule>
    <cfRule type="expression" priority="136" dxfId="1">
      <formula>AND(ISNUMBER(I11),ISNUMBER(I10),I11&lt;I10)</formula>
    </cfRule>
  </conditionalFormatting>
  <conditionalFormatting sqref="I12">
    <cfRule type="expression" priority="137" dxfId="0">
      <formula>AND(ISNUMBER(I12),ISNUMBER(I11),I12&gt;I11)</formula>
    </cfRule>
    <cfRule type="expression" priority="138" dxfId="1">
      <formula>AND(ISNUMBER(I12),ISNUMBER(I11),I12&lt;I11)</formula>
    </cfRule>
  </conditionalFormatting>
  <conditionalFormatting sqref="I13">
    <cfRule type="expression" priority="139" dxfId="0">
      <formula>AND(ISNUMBER(I13),ISNUMBER(I12),I13&gt;I12)</formula>
    </cfRule>
    <cfRule type="expression" priority="140" dxfId="1">
      <formula>AND(ISNUMBER(I13),ISNUMBER(I12),I13&lt;I12)</formula>
    </cfRule>
  </conditionalFormatting>
  <conditionalFormatting sqref="I14">
    <cfRule type="expression" priority="141" dxfId="0">
      <formula>AND(ISNUMBER(I14),ISNUMBER(I13),I14&gt;I13)</formula>
    </cfRule>
    <cfRule type="expression" priority="142" dxfId="1">
      <formula>AND(ISNUMBER(I14),ISNUMBER(I13),I14&lt;I13)</formula>
    </cfRule>
  </conditionalFormatting>
  <conditionalFormatting sqref="I15">
    <cfRule type="expression" priority="143" dxfId="0">
      <formula>AND(ISNUMBER(I15),ISNUMBER(I14),I15&gt;I14)</formula>
    </cfRule>
    <cfRule type="expression" priority="144" dxfId="1">
      <formula>AND(ISNUMBER(I15),ISNUMBER(I14),I15&lt;I14)</formula>
    </cfRule>
  </conditionalFormatting>
  <conditionalFormatting sqref="J4">
    <cfRule type="expression" priority="145" dxfId="0">
      <formula>AND(ISNUMBER(J4),ISNUMBER(J3),J4&gt;J3)</formula>
    </cfRule>
    <cfRule type="expression" priority="146" dxfId="1">
      <formula>AND(ISNUMBER(J4),ISNUMBER(J3),J4&lt;J3)</formula>
    </cfRule>
  </conditionalFormatting>
  <conditionalFormatting sqref="J5">
    <cfRule type="expression" priority="147" dxfId="0">
      <formula>AND(ISNUMBER(J5),ISNUMBER(J4),J5&gt;J4)</formula>
    </cfRule>
    <cfRule type="expression" priority="148" dxfId="1">
      <formula>AND(ISNUMBER(J5),ISNUMBER(J4),J5&lt;J4)</formula>
    </cfRule>
  </conditionalFormatting>
  <conditionalFormatting sqref="J6">
    <cfRule type="expression" priority="149" dxfId="0">
      <formula>AND(ISNUMBER(J6),ISNUMBER(J5),J6&gt;J5)</formula>
    </cfRule>
    <cfRule type="expression" priority="150" dxfId="1">
      <formula>AND(ISNUMBER(J6),ISNUMBER(J5),J6&lt;J5)</formula>
    </cfRule>
  </conditionalFormatting>
  <conditionalFormatting sqref="J7">
    <cfRule type="expression" priority="151" dxfId="0">
      <formula>AND(ISNUMBER(J7),ISNUMBER(J6),J7&gt;J6)</formula>
    </cfRule>
    <cfRule type="expression" priority="152" dxfId="1">
      <formula>AND(ISNUMBER(J7),ISNUMBER(J6),J7&lt;J6)</formula>
    </cfRule>
  </conditionalFormatting>
  <conditionalFormatting sqref="J8">
    <cfRule type="expression" priority="153" dxfId="0">
      <formula>AND(ISNUMBER(J8),ISNUMBER(J7),J8&gt;J7)</formula>
    </cfRule>
    <cfRule type="expression" priority="154" dxfId="1">
      <formula>AND(ISNUMBER(J8),ISNUMBER(J7),J8&lt;J7)</formula>
    </cfRule>
  </conditionalFormatting>
  <conditionalFormatting sqref="J9">
    <cfRule type="expression" priority="155" dxfId="0">
      <formula>AND(ISNUMBER(J9),ISNUMBER(J8),J9&gt;J8)</formula>
    </cfRule>
    <cfRule type="expression" priority="156" dxfId="1">
      <formula>AND(ISNUMBER(J9),ISNUMBER(J8),J9&lt;J8)</formula>
    </cfRule>
  </conditionalFormatting>
  <conditionalFormatting sqref="J10">
    <cfRule type="expression" priority="157" dxfId="0">
      <formula>AND(ISNUMBER(J10),ISNUMBER(J9),J10&gt;J9)</formula>
    </cfRule>
    <cfRule type="expression" priority="158" dxfId="1">
      <formula>AND(ISNUMBER(J10),ISNUMBER(J9),J10&lt;J9)</formula>
    </cfRule>
  </conditionalFormatting>
  <conditionalFormatting sqref="J11">
    <cfRule type="expression" priority="159" dxfId="0">
      <formula>AND(ISNUMBER(J11),ISNUMBER(J10),J11&gt;J10)</formula>
    </cfRule>
    <cfRule type="expression" priority="160" dxfId="1">
      <formula>AND(ISNUMBER(J11),ISNUMBER(J10),J11&lt;J10)</formula>
    </cfRule>
  </conditionalFormatting>
  <conditionalFormatting sqref="J12">
    <cfRule type="expression" priority="161" dxfId="0">
      <formula>AND(ISNUMBER(J12),ISNUMBER(J11),J12&gt;J11)</formula>
    </cfRule>
    <cfRule type="expression" priority="162" dxfId="1">
      <formula>AND(ISNUMBER(J12),ISNUMBER(J11),J12&lt;J11)</formula>
    </cfRule>
  </conditionalFormatting>
  <conditionalFormatting sqref="J13">
    <cfRule type="expression" priority="163" dxfId="0">
      <formula>AND(ISNUMBER(J13),ISNUMBER(J12),J13&gt;J12)</formula>
    </cfRule>
    <cfRule type="expression" priority="164" dxfId="1">
      <formula>AND(ISNUMBER(J13),ISNUMBER(J12),J13&lt;J12)</formula>
    </cfRule>
  </conditionalFormatting>
  <conditionalFormatting sqref="J14">
    <cfRule type="expression" priority="165" dxfId="0">
      <formula>AND(ISNUMBER(J14),ISNUMBER(J13),J14&gt;J13)</formula>
    </cfRule>
    <cfRule type="expression" priority="166" dxfId="1">
      <formula>AND(ISNUMBER(J14),ISNUMBER(J13),J14&lt;J13)</formula>
    </cfRule>
  </conditionalFormatting>
  <conditionalFormatting sqref="J15">
    <cfRule type="expression" priority="167" dxfId="0">
      <formula>AND(ISNUMBER(J15),ISNUMBER(J14),J15&gt;J14)</formula>
    </cfRule>
    <cfRule type="expression" priority="168" dxfId="1">
      <formula>AND(ISNUMBER(J15),ISNUMBER(J14),J15&lt;J14)</formula>
    </cfRule>
  </conditionalFormatting>
  <conditionalFormatting sqref="K4">
    <cfRule type="expression" priority="169" dxfId="0">
      <formula>AND(ISNUMBER(K4),ISNUMBER(K3),K4&gt;K3)</formula>
    </cfRule>
    <cfRule type="expression" priority="170" dxfId="1">
      <formula>AND(ISNUMBER(K4),ISNUMBER(K3),K4&lt;K3)</formula>
    </cfRule>
  </conditionalFormatting>
  <conditionalFormatting sqref="K5">
    <cfRule type="expression" priority="171" dxfId="0">
      <formula>AND(ISNUMBER(K5),ISNUMBER(K4),K5&gt;K4)</formula>
    </cfRule>
    <cfRule type="expression" priority="172" dxfId="1">
      <formula>AND(ISNUMBER(K5),ISNUMBER(K4),K5&lt;K4)</formula>
    </cfRule>
  </conditionalFormatting>
  <conditionalFormatting sqref="K6">
    <cfRule type="expression" priority="173" dxfId="0">
      <formula>AND(ISNUMBER(K6),ISNUMBER(K5),K6&gt;K5)</formula>
    </cfRule>
    <cfRule type="expression" priority="174" dxfId="1">
      <formula>AND(ISNUMBER(K6),ISNUMBER(K5),K6&lt;K5)</formula>
    </cfRule>
  </conditionalFormatting>
  <conditionalFormatting sqref="K7">
    <cfRule type="expression" priority="175" dxfId="0">
      <formula>AND(ISNUMBER(K7),ISNUMBER(K6),K7&gt;K6)</formula>
    </cfRule>
    <cfRule type="expression" priority="176" dxfId="1">
      <formula>AND(ISNUMBER(K7),ISNUMBER(K6),K7&lt;K6)</formula>
    </cfRule>
  </conditionalFormatting>
  <conditionalFormatting sqref="K8">
    <cfRule type="expression" priority="177" dxfId="0">
      <formula>AND(ISNUMBER(K8),ISNUMBER(K7),K8&gt;K7)</formula>
    </cfRule>
    <cfRule type="expression" priority="178" dxfId="1">
      <formula>AND(ISNUMBER(K8),ISNUMBER(K7),K8&lt;K7)</formula>
    </cfRule>
  </conditionalFormatting>
  <conditionalFormatting sqref="K9">
    <cfRule type="expression" priority="179" dxfId="0">
      <formula>AND(ISNUMBER(K9),ISNUMBER(K8),K9&gt;K8)</formula>
    </cfRule>
    <cfRule type="expression" priority="180" dxfId="1">
      <formula>AND(ISNUMBER(K9),ISNUMBER(K8),K9&lt;K8)</formula>
    </cfRule>
  </conditionalFormatting>
  <conditionalFormatting sqref="K10">
    <cfRule type="expression" priority="181" dxfId="0">
      <formula>AND(ISNUMBER(K10),ISNUMBER(K9),K10&gt;K9)</formula>
    </cfRule>
    <cfRule type="expression" priority="182" dxfId="1">
      <formula>AND(ISNUMBER(K10),ISNUMBER(K9),K10&lt;K9)</formula>
    </cfRule>
  </conditionalFormatting>
  <conditionalFormatting sqref="K11">
    <cfRule type="expression" priority="183" dxfId="0">
      <formula>AND(ISNUMBER(K11),ISNUMBER(K10),K11&gt;K10)</formula>
    </cfRule>
    <cfRule type="expression" priority="184" dxfId="1">
      <formula>AND(ISNUMBER(K11),ISNUMBER(K10),K11&lt;K10)</formula>
    </cfRule>
  </conditionalFormatting>
  <conditionalFormatting sqref="K12">
    <cfRule type="expression" priority="185" dxfId="0">
      <formula>AND(ISNUMBER(K12),ISNUMBER(K11),K12&gt;K11)</formula>
    </cfRule>
    <cfRule type="expression" priority="186" dxfId="1">
      <formula>AND(ISNUMBER(K12),ISNUMBER(K11),K12&lt;K11)</formula>
    </cfRule>
  </conditionalFormatting>
  <conditionalFormatting sqref="K13">
    <cfRule type="expression" priority="187" dxfId="0">
      <formula>AND(ISNUMBER(K13),ISNUMBER(K12),K13&gt;K12)</formula>
    </cfRule>
    <cfRule type="expression" priority="188" dxfId="1">
      <formula>AND(ISNUMBER(K13),ISNUMBER(K12),K13&lt;K12)</formula>
    </cfRule>
  </conditionalFormatting>
  <conditionalFormatting sqref="K14">
    <cfRule type="expression" priority="189" dxfId="0">
      <formula>AND(ISNUMBER(K14),ISNUMBER(K13),K14&gt;K13)</formula>
    </cfRule>
    <cfRule type="expression" priority="190" dxfId="1">
      <formula>AND(ISNUMBER(K14),ISNUMBER(K13),K14&lt;K13)</formula>
    </cfRule>
  </conditionalFormatting>
  <conditionalFormatting sqref="K15">
    <cfRule type="expression" priority="191" dxfId="0">
      <formula>AND(ISNUMBER(K15),ISNUMBER(K14),K15&gt;K14)</formula>
    </cfRule>
    <cfRule type="expression" priority="192" dxfId="1">
      <formula>AND(ISNUMBER(K15),ISNUMBER(K14),K15&lt;K14)</formula>
    </cfRule>
  </conditionalFormatting>
  <conditionalFormatting sqref="L4">
    <cfRule type="expression" priority="193" dxfId="0">
      <formula>AND(ISNUMBER(L4),ISNUMBER(L3),L4&gt;L3)</formula>
    </cfRule>
    <cfRule type="expression" priority="194" dxfId="1">
      <formula>AND(ISNUMBER(L4),ISNUMBER(L3),L4&lt;L3)</formula>
    </cfRule>
  </conditionalFormatting>
  <conditionalFormatting sqref="L5">
    <cfRule type="expression" priority="195" dxfId="0">
      <formula>AND(ISNUMBER(L5),ISNUMBER(L4),L5&gt;L4)</formula>
    </cfRule>
    <cfRule type="expression" priority="196" dxfId="1">
      <formula>AND(ISNUMBER(L5),ISNUMBER(L4),L5&lt;L4)</formula>
    </cfRule>
  </conditionalFormatting>
  <conditionalFormatting sqref="L6">
    <cfRule type="expression" priority="197" dxfId="0">
      <formula>AND(ISNUMBER(L6),ISNUMBER(L5),L6&gt;L5)</formula>
    </cfRule>
    <cfRule type="expression" priority="198" dxfId="1">
      <formula>AND(ISNUMBER(L6),ISNUMBER(L5),L6&lt;L5)</formula>
    </cfRule>
  </conditionalFormatting>
  <conditionalFormatting sqref="L7">
    <cfRule type="expression" priority="199" dxfId="0">
      <formula>AND(ISNUMBER(L7),ISNUMBER(L6),L7&gt;L6)</formula>
    </cfRule>
    <cfRule type="expression" priority="200" dxfId="1">
      <formula>AND(ISNUMBER(L7),ISNUMBER(L6),L7&lt;L6)</formula>
    </cfRule>
  </conditionalFormatting>
  <conditionalFormatting sqref="L8">
    <cfRule type="expression" priority="201" dxfId="0">
      <formula>AND(ISNUMBER(L8),ISNUMBER(L7),L8&gt;L7)</formula>
    </cfRule>
    <cfRule type="expression" priority="202" dxfId="1">
      <formula>AND(ISNUMBER(L8),ISNUMBER(L7),L8&lt;L7)</formula>
    </cfRule>
  </conditionalFormatting>
  <conditionalFormatting sqref="L9">
    <cfRule type="expression" priority="203" dxfId="0">
      <formula>AND(ISNUMBER(L9),ISNUMBER(L8),L9&gt;L8)</formula>
    </cfRule>
    <cfRule type="expression" priority="204" dxfId="1">
      <formula>AND(ISNUMBER(L9),ISNUMBER(L8),L9&lt;L8)</formula>
    </cfRule>
  </conditionalFormatting>
  <conditionalFormatting sqref="L10">
    <cfRule type="expression" priority="205" dxfId="0">
      <formula>AND(ISNUMBER(L10),ISNUMBER(L9),L10&gt;L9)</formula>
    </cfRule>
    <cfRule type="expression" priority="206" dxfId="1">
      <formula>AND(ISNUMBER(L10),ISNUMBER(L9),L10&lt;L9)</formula>
    </cfRule>
  </conditionalFormatting>
  <conditionalFormatting sqref="L11">
    <cfRule type="expression" priority="207" dxfId="0">
      <formula>AND(ISNUMBER(L11),ISNUMBER(L10),L11&gt;L10)</formula>
    </cfRule>
    <cfRule type="expression" priority="208" dxfId="1">
      <formula>AND(ISNUMBER(L11),ISNUMBER(L10),L11&lt;L10)</formula>
    </cfRule>
  </conditionalFormatting>
  <conditionalFormatting sqref="L12">
    <cfRule type="expression" priority="209" dxfId="0">
      <formula>AND(ISNUMBER(L12),ISNUMBER(L11),L12&gt;L11)</formula>
    </cfRule>
    <cfRule type="expression" priority="210" dxfId="1">
      <formula>AND(ISNUMBER(L12),ISNUMBER(L11),L12&lt;L11)</formula>
    </cfRule>
  </conditionalFormatting>
  <conditionalFormatting sqref="L13">
    <cfRule type="expression" priority="211" dxfId="0">
      <formula>AND(ISNUMBER(L13),ISNUMBER(L12),L13&gt;L12)</formula>
    </cfRule>
    <cfRule type="expression" priority="212" dxfId="1">
      <formula>AND(ISNUMBER(L13),ISNUMBER(L12),L13&lt;L12)</formula>
    </cfRule>
  </conditionalFormatting>
  <conditionalFormatting sqref="L14">
    <cfRule type="expression" priority="213" dxfId="0">
      <formula>AND(ISNUMBER(L14),ISNUMBER(L13),L14&gt;L13)</formula>
    </cfRule>
    <cfRule type="expression" priority="214" dxfId="1">
      <formula>AND(ISNUMBER(L14),ISNUMBER(L13),L14&lt;L13)</formula>
    </cfRule>
  </conditionalFormatting>
  <conditionalFormatting sqref="L15">
    <cfRule type="expression" priority="215" dxfId="0">
      <formula>AND(ISNUMBER(L15),ISNUMBER(L14),L15&gt;L14)</formula>
    </cfRule>
    <cfRule type="expression" priority="216" dxfId="1">
      <formula>AND(ISNUMBER(L15),ISNUMBER(L14),L15&lt;L14)</formula>
    </cfRule>
  </conditionalFormatting>
  <conditionalFormatting sqref="M4">
    <cfRule type="expression" priority="217" dxfId="0">
      <formula>AND(ISNUMBER(M4),ISNUMBER(M3),M4&gt;M3)</formula>
    </cfRule>
    <cfRule type="expression" priority="218" dxfId="1">
      <formula>AND(ISNUMBER(M4),ISNUMBER(M3),M4&lt;M3)</formula>
    </cfRule>
  </conditionalFormatting>
  <conditionalFormatting sqref="M5">
    <cfRule type="expression" priority="219" dxfId="0">
      <formula>AND(ISNUMBER(M5),ISNUMBER(M4),M5&gt;M4)</formula>
    </cfRule>
    <cfRule type="expression" priority="220" dxfId="1">
      <formula>AND(ISNUMBER(M5),ISNUMBER(M4),M5&lt;M4)</formula>
    </cfRule>
  </conditionalFormatting>
  <conditionalFormatting sqref="M6">
    <cfRule type="expression" priority="221" dxfId="0">
      <formula>AND(ISNUMBER(M6),ISNUMBER(M5),M6&gt;M5)</formula>
    </cfRule>
    <cfRule type="expression" priority="222" dxfId="1">
      <formula>AND(ISNUMBER(M6),ISNUMBER(M5),M6&lt;M5)</formula>
    </cfRule>
  </conditionalFormatting>
  <conditionalFormatting sqref="M7">
    <cfRule type="expression" priority="223" dxfId="0">
      <formula>AND(ISNUMBER(M7),ISNUMBER(M6),M7&gt;M6)</formula>
    </cfRule>
    <cfRule type="expression" priority="224" dxfId="1">
      <formula>AND(ISNUMBER(M7),ISNUMBER(M6),M7&lt;M6)</formula>
    </cfRule>
  </conditionalFormatting>
  <conditionalFormatting sqref="M8">
    <cfRule type="expression" priority="225" dxfId="0">
      <formula>AND(ISNUMBER(M8),ISNUMBER(M7),M8&gt;M7)</formula>
    </cfRule>
    <cfRule type="expression" priority="226" dxfId="1">
      <formula>AND(ISNUMBER(M8),ISNUMBER(M7),M8&lt;M7)</formula>
    </cfRule>
  </conditionalFormatting>
  <conditionalFormatting sqref="M9">
    <cfRule type="expression" priority="227" dxfId="0">
      <formula>AND(ISNUMBER(M9),ISNUMBER(M8),M9&gt;M8)</formula>
    </cfRule>
    <cfRule type="expression" priority="228" dxfId="1">
      <formula>AND(ISNUMBER(M9),ISNUMBER(M8),M9&lt;M8)</formula>
    </cfRule>
  </conditionalFormatting>
  <conditionalFormatting sqref="M10">
    <cfRule type="expression" priority="229" dxfId="0">
      <formula>AND(ISNUMBER(M10),ISNUMBER(M9),M10&gt;M9)</formula>
    </cfRule>
    <cfRule type="expression" priority="230" dxfId="1">
      <formula>AND(ISNUMBER(M10),ISNUMBER(M9),M10&lt;M9)</formula>
    </cfRule>
  </conditionalFormatting>
  <conditionalFormatting sqref="M11">
    <cfRule type="expression" priority="231" dxfId="0">
      <formula>AND(ISNUMBER(M11),ISNUMBER(M10),M11&gt;M10)</formula>
    </cfRule>
    <cfRule type="expression" priority="232" dxfId="1">
      <formula>AND(ISNUMBER(M11),ISNUMBER(M10),M11&lt;M10)</formula>
    </cfRule>
  </conditionalFormatting>
  <conditionalFormatting sqref="M12">
    <cfRule type="expression" priority="233" dxfId="0">
      <formula>AND(ISNUMBER(M12),ISNUMBER(M11),M12&gt;M11)</formula>
    </cfRule>
    <cfRule type="expression" priority="234" dxfId="1">
      <formula>AND(ISNUMBER(M12),ISNUMBER(M11),M12&lt;M11)</formula>
    </cfRule>
  </conditionalFormatting>
  <conditionalFormatting sqref="M13">
    <cfRule type="expression" priority="235" dxfId="0">
      <formula>AND(ISNUMBER(M13),ISNUMBER(M12),M13&gt;M12)</formula>
    </cfRule>
    <cfRule type="expression" priority="236" dxfId="1">
      <formula>AND(ISNUMBER(M13),ISNUMBER(M12),M13&lt;M12)</formula>
    </cfRule>
  </conditionalFormatting>
  <conditionalFormatting sqref="M14">
    <cfRule type="expression" priority="237" dxfId="0">
      <formula>AND(ISNUMBER(M14),ISNUMBER(M13),M14&gt;M13)</formula>
    </cfRule>
    <cfRule type="expression" priority="238" dxfId="1">
      <formula>AND(ISNUMBER(M14),ISNUMBER(M13),M14&lt;M13)</formula>
    </cfRule>
  </conditionalFormatting>
  <conditionalFormatting sqref="M15">
    <cfRule type="expression" priority="239" dxfId="0">
      <formula>AND(ISNUMBER(M15),ISNUMBER(M14),M15&gt;M14)</formula>
    </cfRule>
    <cfRule type="expression" priority="240" dxfId="1">
      <formula>AND(ISNUMBER(M15),ISNUMBER(M14),M15&lt;M14)</formula>
    </cfRule>
  </conditionalFormatting>
  <conditionalFormatting sqref="N4">
    <cfRule type="expression" priority="241" dxfId="0">
      <formula>AND(ISNUMBER(N4),ISNUMBER(N3),N4&gt;N3)</formula>
    </cfRule>
    <cfRule type="expression" priority="242" dxfId="1">
      <formula>AND(ISNUMBER(N4),ISNUMBER(N3),N4&lt;N3)</formula>
    </cfRule>
  </conditionalFormatting>
  <conditionalFormatting sqref="N5">
    <cfRule type="expression" priority="243" dxfId="0">
      <formula>AND(ISNUMBER(N5),ISNUMBER(N4),N5&gt;N4)</formula>
    </cfRule>
    <cfRule type="expression" priority="244" dxfId="1">
      <formula>AND(ISNUMBER(N5),ISNUMBER(N4),N5&lt;N4)</formula>
    </cfRule>
  </conditionalFormatting>
  <conditionalFormatting sqref="N6">
    <cfRule type="expression" priority="245" dxfId="0">
      <formula>AND(ISNUMBER(N6),ISNUMBER(N5),N6&gt;N5)</formula>
    </cfRule>
    <cfRule type="expression" priority="246" dxfId="1">
      <formula>AND(ISNUMBER(N6),ISNUMBER(N5),N6&lt;N5)</formula>
    </cfRule>
  </conditionalFormatting>
  <conditionalFormatting sqref="N7">
    <cfRule type="expression" priority="247" dxfId="0">
      <formula>AND(ISNUMBER(N7),ISNUMBER(N6),N7&gt;N6)</formula>
    </cfRule>
    <cfRule type="expression" priority="248" dxfId="1">
      <formula>AND(ISNUMBER(N7),ISNUMBER(N6),N7&lt;N6)</formula>
    </cfRule>
  </conditionalFormatting>
  <conditionalFormatting sqref="N8">
    <cfRule type="expression" priority="249" dxfId="0">
      <formula>AND(ISNUMBER(N8),ISNUMBER(N7),N8&gt;N7)</formula>
    </cfRule>
    <cfRule type="expression" priority="250" dxfId="1">
      <formula>AND(ISNUMBER(N8),ISNUMBER(N7),N8&lt;N7)</formula>
    </cfRule>
  </conditionalFormatting>
  <conditionalFormatting sqref="N9">
    <cfRule type="expression" priority="251" dxfId="0">
      <formula>AND(ISNUMBER(N9),ISNUMBER(N8),N9&gt;N8)</formula>
    </cfRule>
    <cfRule type="expression" priority="252" dxfId="1">
      <formula>AND(ISNUMBER(N9),ISNUMBER(N8),N9&lt;N8)</formula>
    </cfRule>
  </conditionalFormatting>
  <conditionalFormatting sqref="N10">
    <cfRule type="expression" priority="253" dxfId="0">
      <formula>AND(ISNUMBER(N10),ISNUMBER(N9),N10&gt;N9)</formula>
    </cfRule>
    <cfRule type="expression" priority="254" dxfId="1">
      <formula>AND(ISNUMBER(N10),ISNUMBER(N9),N10&lt;N9)</formula>
    </cfRule>
  </conditionalFormatting>
  <conditionalFormatting sqref="N11">
    <cfRule type="expression" priority="255" dxfId="0">
      <formula>AND(ISNUMBER(N11),ISNUMBER(N10),N11&gt;N10)</formula>
    </cfRule>
    <cfRule type="expression" priority="256" dxfId="1">
      <formula>AND(ISNUMBER(N11),ISNUMBER(N10),N11&lt;N10)</formula>
    </cfRule>
  </conditionalFormatting>
  <conditionalFormatting sqref="N12">
    <cfRule type="expression" priority="257" dxfId="0">
      <formula>AND(ISNUMBER(N12),ISNUMBER(N11),N12&gt;N11)</formula>
    </cfRule>
    <cfRule type="expression" priority="258" dxfId="1">
      <formula>AND(ISNUMBER(N12),ISNUMBER(N11),N12&lt;N11)</formula>
    </cfRule>
  </conditionalFormatting>
  <conditionalFormatting sqref="N13">
    <cfRule type="expression" priority="259" dxfId="0">
      <formula>AND(ISNUMBER(N13),ISNUMBER(N12),N13&gt;N12)</formula>
    </cfRule>
    <cfRule type="expression" priority="260" dxfId="1">
      <formula>AND(ISNUMBER(N13),ISNUMBER(N12),N13&lt;N12)</formula>
    </cfRule>
  </conditionalFormatting>
  <conditionalFormatting sqref="N14">
    <cfRule type="expression" priority="261" dxfId="0">
      <formula>AND(ISNUMBER(N14),ISNUMBER(N13),N14&gt;N13)</formula>
    </cfRule>
    <cfRule type="expression" priority="262" dxfId="1">
      <formula>AND(ISNUMBER(N14),ISNUMBER(N13),N14&lt;N13)</formula>
    </cfRule>
  </conditionalFormatting>
  <conditionalFormatting sqref="N15">
    <cfRule type="expression" priority="263" dxfId="0">
      <formula>AND(ISNUMBER(N15),ISNUMBER(N14),N15&gt;N14)</formula>
    </cfRule>
    <cfRule type="expression" priority="264" dxfId="1">
      <formula>AND(ISNUMBER(N15),ISNUMBER(N14),N15&lt;N14)</formula>
    </cfRule>
  </conditionalFormatting>
  <conditionalFormatting sqref="O4">
    <cfRule type="expression" priority="265" dxfId="0">
      <formula>AND(ISNUMBER(O4),ISNUMBER(O3),O4&gt;O3)</formula>
    </cfRule>
    <cfRule type="expression" priority="266" dxfId="1">
      <formula>AND(ISNUMBER(O4),ISNUMBER(O3),O4&lt;O3)</formula>
    </cfRule>
  </conditionalFormatting>
  <conditionalFormatting sqref="O5">
    <cfRule type="expression" priority="267" dxfId="0">
      <formula>AND(ISNUMBER(O5),ISNUMBER(O4),O5&gt;O4)</formula>
    </cfRule>
    <cfRule type="expression" priority="268" dxfId="1">
      <formula>AND(ISNUMBER(O5),ISNUMBER(O4),O5&lt;O4)</formula>
    </cfRule>
  </conditionalFormatting>
  <conditionalFormatting sqref="O6">
    <cfRule type="expression" priority="269" dxfId="0">
      <formula>AND(ISNUMBER(O6),ISNUMBER(O5),O6&gt;O5)</formula>
    </cfRule>
    <cfRule type="expression" priority="270" dxfId="1">
      <formula>AND(ISNUMBER(O6),ISNUMBER(O5),O6&lt;O5)</formula>
    </cfRule>
  </conditionalFormatting>
  <conditionalFormatting sqref="O7">
    <cfRule type="expression" priority="271" dxfId="0">
      <formula>AND(ISNUMBER(O7),ISNUMBER(O6),O7&gt;O6)</formula>
    </cfRule>
    <cfRule type="expression" priority="272" dxfId="1">
      <formula>AND(ISNUMBER(O7),ISNUMBER(O6),O7&lt;O6)</formula>
    </cfRule>
  </conditionalFormatting>
  <conditionalFormatting sqref="O8">
    <cfRule type="expression" priority="273" dxfId="0">
      <formula>AND(ISNUMBER(O8),ISNUMBER(O7),O8&gt;O7)</formula>
    </cfRule>
    <cfRule type="expression" priority="274" dxfId="1">
      <formula>AND(ISNUMBER(O8),ISNUMBER(O7),O8&lt;O7)</formula>
    </cfRule>
  </conditionalFormatting>
  <conditionalFormatting sqref="O9">
    <cfRule type="expression" priority="275" dxfId="0">
      <formula>AND(ISNUMBER(O9),ISNUMBER(O8),O9&gt;O8)</formula>
    </cfRule>
    <cfRule type="expression" priority="276" dxfId="1">
      <formula>AND(ISNUMBER(O9),ISNUMBER(O8),O9&lt;O8)</formula>
    </cfRule>
  </conditionalFormatting>
  <conditionalFormatting sqref="O10">
    <cfRule type="expression" priority="277" dxfId="0">
      <formula>AND(ISNUMBER(O10),ISNUMBER(O9),O10&gt;O9)</formula>
    </cfRule>
    <cfRule type="expression" priority="278" dxfId="1">
      <formula>AND(ISNUMBER(O10),ISNUMBER(O9),O10&lt;O9)</formula>
    </cfRule>
  </conditionalFormatting>
  <conditionalFormatting sqref="O11">
    <cfRule type="expression" priority="279" dxfId="0">
      <formula>AND(ISNUMBER(O11),ISNUMBER(O10),O11&gt;O10)</formula>
    </cfRule>
    <cfRule type="expression" priority="280" dxfId="1">
      <formula>AND(ISNUMBER(O11),ISNUMBER(O10),O11&lt;O10)</formula>
    </cfRule>
  </conditionalFormatting>
  <conditionalFormatting sqref="O12">
    <cfRule type="expression" priority="281" dxfId="0">
      <formula>AND(ISNUMBER(O12),ISNUMBER(O11),O12&gt;O11)</formula>
    </cfRule>
    <cfRule type="expression" priority="282" dxfId="1">
      <formula>AND(ISNUMBER(O12),ISNUMBER(O11),O12&lt;O11)</formula>
    </cfRule>
  </conditionalFormatting>
  <conditionalFormatting sqref="O13">
    <cfRule type="expression" priority="283" dxfId="0">
      <formula>AND(ISNUMBER(O13),ISNUMBER(O12),O13&gt;O12)</formula>
    </cfRule>
    <cfRule type="expression" priority="284" dxfId="1">
      <formula>AND(ISNUMBER(O13),ISNUMBER(O12),O13&lt;O12)</formula>
    </cfRule>
  </conditionalFormatting>
  <conditionalFormatting sqref="O14">
    <cfRule type="expression" priority="285" dxfId="0">
      <formula>AND(ISNUMBER(O14),ISNUMBER(O13),O14&gt;O13)</formula>
    </cfRule>
    <cfRule type="expression" priority="286" dxfId="1">
      <formula>AND(ISNUMBER(O14),ISNUMBER(O13),O14&lt;O13)</formula>
    </cfRule>
  </conditionalFormatting>
  <conditionalFormatting sqref="O15">
    <cfRule type="expression" priority="287" dxfId="0">
      <formula>AND(ISNUMBER(O15),ISNUMBER(O14),O15&gt;O14)</formula>
    </cfRule>
    <cfRule type="expression" priority="288" dxfId="1">
      <formula>AND(ISNUMBER(O15),ISNUMBER(O14),O15&lt;O14)</formula>
    </cfRule>
  </conditionalFormatting>
  <conditionalFormatting sqref="P4">
    <cfRule type="expression" priority="289" dxfId="0">
      <formula>AND(ISNUMBER(P4),ISNUMBER(P3),P4&gt;P3)</formula>
    </cfRule>
    <cfRule type="expression" priority="290" dxfId="1">
      <formula>AND(ISNUMBER(P4),ISNUMBER(P3),P4&lt;P3)</formula>
    </cfRule>
  </conditionalFormatting>
  <conditionalFormatting sqref="P5">
    <cfRule type="expression" priority="291" dxfId="0">
      <formula>AND(ISNUMBER(P5),ISNUMBER(P4),P5&gt;P4)</formula>
    </cfRule>
    <cfRule type="expression" priority="292" dxfId="1">
      <formula>AND(ISNUMBER(P5),ISNUMBER(P4),P5&lt;P4)</formula>
    </cfRule>
  </conditionalFormatting>
  <conditionalFormatting sqref="P6">
    <cfRule type="expression" priority="293" dxfId="0">
      <formula>AND(ISNUMBER(P6),ISNUMBER(P5),P6&gt;P5)</formula>
    </cfRule>
    <cfRule type="expression" priority="294" dxfId="1">
      <formula>AND(ISNUMBER(P6),ISNUMBER(P5),P6&lt;P5)</formula>
    </cfRule>
  </conditionalFormatting>
  <conditionalFormatting sqref="P7">
    <cfRule type="expression" priority="295" dxfId="0">
      <formula>AND(ISNUMBER(P7),ISNUMBER(P6),P7&gt;P6)</formula>
    </cfRule>
    <cfRule type="expression" priority="296" dxfId="1">
      <formula>AND(ISNUMBER(P7),ISNUMBER(P6),P7&lt;P6)</formula>
    </cfRule>
  </conditionalFormatting>
  <conditionalFormatting sqref="P8">
    <cfRule type="expression" priority="297" dxfId="0">
      <formula>AND(ISNUMBER(P8),ISNUMBER(P7),P8&gt;P7)</formula>
    </cfRule>
    <cfRule type="expression" priority="298" dxfId="1">
      <formula>AND(ISNUMBER(P8),ISNUMBER(P7),P8&lt;P7)</formula>
    </cfRule>
  </conditionalFormatting>
  <conditionalFormatting sqref="P9">
    <cfRule type="expression" priority="299" dxfId="0">
      <formula>AND(ISNUMBER(P9),ISNUMBER(P8),P9&gt;P8)</formula>
    </cfRule>
    <cfRule type="expression" priority="300" dxfId="1">
      <formula>AND(ISNUMBER(P9),ISNUMBER(P8),P9&lt;P8)</formula>
    </cfRule>
  </conditionalFormatting>
  <conditionalFormatting sqref="P10">
    <cfRule type="expression" priority="301" dxfId="0">
      <formula>AND(ISNUMBER(P10),ISNUMBER(P9),P10&gt;P9)</formula>
    </cfRule>
    <cfRule type="expression" priority="302" dxfId="1">
      <formula>AND(ISNUMBER(P10),ISNUMBER(P9),P10&lt;P9)</formula>
    </cfRule>
  </conditionalFormatting>
  <conditionalFormatting sqref="P11">
    <cfRule type="expression" priority="303" dxfId="0">
      <formula>AND(ISNUMBER(P11),ISNUMBER(P10),P11&gt;P10)</formula>
    </cfRule>
    <cfRule type="expression" priority="304" dxfId="1">
      <formula>AND(ISNUMBER(P11),ISNUMBER(P10),P11&lt;P10)</formula>
    </cfRule>
  </conditionalFormatting>
  <conditionalFormatting sqref="P12">
    <cfRule type="expression" priority="305" dxfId="0">
      <formula>AND(ISNUMBER(P12),ISNUMBER(P11),P12&gt;P11)</formula>
    </cfRule>
    <cfRule type="expression" priority="306" dxfId="1">
      <formula>AND(ISNUMBER(P12),ISNUMBER(P11),P12&lt;P11)</formula>
    </cfRule>
  </conditionalFormatting>
  <conditionalFormatting sqref="P13">
    <cfRule type="expression" priority="307" dxfId="0">
      <formula>AND(ISNUMBER(P13),ISNUMBER(P12),P13&gt;P12)</formula>
    </cfRule>
    <cfRule type="expression" priority="308" dxfId="1">
      <formula>AND(ISNUMBER(P13),ISNUMBER(P12),P13&lt;P12)</formula>
    </cfRule>
  </conditionalFormatting>
  <conditionalFormatting sqref="P14">
    <cfRule type="expression" priority="309" dxfId="0">
      <formula>AND(ISNUMBER(P14),ISNUMBER(P13),P14&gt;P13)</formula>
    </cfRule>
    <cfRule type="expression" priority="310" dxfId="1">
      <formula>AND(ISNUMBER(P14),ISNUMBER(P13),P14&lt;P13)</formula>
    </cfRule>
  </conditionalFormatting>
  <conditionalFormatting sqref="P15">
    <cfRule type="expression" priority="311" dxfId="0">
      <formula>AND(ISNUMBER(P15),ISNUMBER(P14),P15&gt;P14)</formula>
    </cfRule>
    <cfRule type="expression" priority="312" dxfId="1">
      <formula>AND(ISNUMBER(P15),ISNUMBER(P14),P15&lt;P14)</formula>
    </cfRule>
  </conditionalFormatting>
  <conditionalFormatting sqref="Q4">
    <cfRule type="expression" priority="313" dxfId="0">
      <formula>AND(ISNUMBER(Q4),ISNUMBER(Q3),Q4&gt;Q3)</formula>
    </cfRule>
    <cfRule type="expression" priority="314" dxfId="1">
      <formula>AND(ISNUMBER(Q4),ISNUMBER(Q3),Q4&lt;Q3)</formula>
    </cfRule>
  </conditionalFormatting>
  <conditionalFormatting sqref="Q5">
    <cfRule type="expression" priority="315" dxfId="0">
      <formula>AND(ISNUMBER(Q5),ISNUMBER(Q4),Q5&gt;Q4)</formula>
    </cfRule>
    <cfRule type="expression" priority="316" dxfId="1">
      <formula>AND(ISNUMBER(Q5),ISNUMBER(Q4),Q5&lt;Q4)</formula>
    </cfRule>
  </conditionalFormatting>
  <conditionalFormatting sqref="Q6">
    <cfRule type="expression" priority="317" dxfId="0">
      <formula>AND(ISNUMBER(Q6),ISNUMBER(Q5),Q6&gt;Q5)</formula>
    </cfRule>
    <cfRule type="expression" priority="318" dxfId="1">
      <formula>AND(ISNUMBER(Q6),ISNUMBER(Q5),Q6&lt;Q5)</formula>
    </cfRule>
  </conditionalFormatting>
  <conditionalFormatting sqref="Q7">
    <cfRule type="expression" priority="319" dxfId="0">
      <formula>AND(ISNUMBER(Q7),ISNUMBER(Q6),Q7&gt;Q6)</formula>
    </cfRule>
    <cfRule type="expression" priority="320" dxfId="1">
      <formula>AND(ISNUMBER(Q7),ISNUMBER(Q6),Q7&lt;Q6)</formula>
    </cfRule>
  </conditionalFormatting>
  <conditionalFormatting sqref="Q8">
    <cfRule type="expression" priority="321" dxfId="0">
      <formula>AND(ISNUMBER(Q8),ISNUMBER(Q7),Q8&gt;Q7)</formula>
    </cfRule>
    <cfRule type="expression" priority="322" dxfId="1">
      <formula>AND(ISNUMBER(Q8),ISNUMBER(Q7),Q8&lt;Q7)</formula>
    </cfRule>
  </conditionalFormatting>
  <conditionalFormatting sqref="Q9">
    <cfRule type="expression" priority="323" dxfId="0">
      <formula>AND(ISNUMBER(Q9),ISNUMBER(Q8),Q9&gt;Q8)</formula>
    </cfRule>
    <cfRule type="expression" priority="324" dxfId="1">
      <formula>AND(ISNUMBER(Q9),ISNUMBER(Q8),Q9&lt;Q8)</formula>
    </cfRule>
  </conditionalFormatting>
  <conditionalFormatting sqref="Q10">
    <cfRule type="expression" priority="325" dxfId="0">
      <formula>AND(ISNUMBER(Q10),ISNUMBER(Q9),Q10&gt;Q9)</formula>
    </cfRule>
    <cfRule type="expression" priority="326" dxfId="1">
      <formula>AND(ISNUMBER(Q10),ISNUMBER(Q9),Q10&lt;Q9)</formula>
    </cfRule>
  </conditionalFormatting>
  <conditionalFormatting sqref="Q11">
    <cfRule type="expression" priority="327" dxfId="0">
      <formula>AND(ISNUMBER(Q11),ISNUMBER(Q10),Q11&gt;Q10)</formula>
    </cfRule>
    <cfRule type="expression" priority="328" dxfId="1">
      <formula>AND(ISNUMBER(Q11),ISNUMBER(Q10),Q11&lt;Q10)</formula>
    </cfRule>
  </conditionalFormatting>
  <conditionalFormatting sqref="Q12">
    <cfRule type="expression" priority="329" dxfId="0">
      <formula>AND(ISNUMBER(Q12),ISNUMBER(Q11),Q12&gt;Q11)</formula>
    </cfRule>
    <cfRule type="expression" priority="330" dxfId="1">
      <formula>AND(ISNUMBER(Q12),ISNUMBER(Q11),Q12&lt;Q11)</formula>
    </cfRule>
  </conditionalFormatting>
  <conditionalFormatting sqref="Q13">
    <cfRule type="expression" priority="331" dxfId="0">
      <formula>AND(ISNUMBER(Q13),ISNUMBER(Q12),Q13&gt;Q12)</formula>
    </cfRule>
    <cfRule type="expression" priority="332" dxfId="1">
      <formula>AND(ISNUMBER(Q13),ISNUMBER(Q12),Q13&lt;Q12)</formula>
    </cfRule>
  </conditionalFormatting>
  <conditionalFormatting sqref="Q14">
    <cfRule type="expression" priority="333" dxfId="0">
      <formula>AND(ISNUMBER(Q14),ISNUMBER(Q13),Q14&gt;Q13)</formula>
    </cfRule>
    <cfRule type="expression" priority="334" dxfId="1">
      <formula>AND(ISNUMBER(Q14),ISNUMBER(Q13),Q14&lt;Q13)</formula>
    </cfRule>
  </conditionalFormatting>
  <conditionalFormatting sqref="Q15">
    <cfRule type="expression" priority="335" dxfId="0">
      <formula>AND(ISNUMBER(Q15),ISNUMBER(Q14),Q15&gt;Q14)</formula>
    </cfRule>
    <cfRule type="expression" priority="336" dxfId="1">
      <formula>AND(ISNUMBER(Q15),ISNUMBER(Q14),Q15&lt;Q14)</formula>
    </cfRule>
  </conditionalFormatting>
  <conditionalFormatting sqref="R4">
    <cfRule type="expression" priority="337" dxfId="0">
      <formula>AND(ISNUMBER(R4),ISNUMBER(R3),R4&gt;R3)</formula>
    </cfRule>
    <cfRule type="expression" priority="338" dxfId="1">
      <formula>AND(ISNUMBER(R4),ISNUMBER(R3),R4&lt;R3)</formula>
    </cfRule>
  </conditionalFormatting>
  <conditionalFormatting sqref="R5">
    <cfRule type="expression" priority="339" dxfId="0">
      <formula>AND(ISNUMBER(R5),ISNUMBER(R4),R5&gt;R4)</formula>
    </cfRule>
    <cfRule type="expression" priority="340" dxfId="1">
      <formula>AND(ISNUMBER(R5),ISNUMBER(R4),R5&lt;R4)</formula>
    </cfRule>
  </conditionalFormatting>
  <conditionalFormatting sqref="R6">
    <cfRule type="expression" priority="341" dxfId="0">
      <formula>AND(ISNUMBER(R6),ISNUMBER(R5),R6&gt;R5)</formula>
    </cfRule>
    <cfRule type="expression" priority="342" dxfId="1">
      <formula>AND(ISNUMBER(R6),ISNUMBER(R5),R6&lt;R5)</formula>
    </cfRule>
  </conditionalFormatting>
  <conditionalFormatting sqref="R7">
    <cfRule type="expression" priority="343" dxfId="0">
      <formula>AND(ISNUMBER(R7),ISNUMBER(R6),R7&gt;R6)</formula>
    </cfRule>
    <cfRule type="expression" priority="344" dxfId="1">
      <formula>AND(ISNUMBER(R7),ISNUMBER(R6),R7&lt;R6)</formula>
    </cfRule>
  </conditionalFormatting>
  <conditionalFormatting sqref="R8">
    <cfRule type="expression" priority="345" dxfId="0">
      <formula>AND(ISNUMBER(R8),ISNUMBER(R7),R8&gt;R7)</formula>
    </cfRule>
    <cfRule type="expression" priority="346" dxfId="1">
      <formula>AND(ISNUMBER(R8),ISNUMBER(R7),R8&lt;R7)</formula>
    </cfRule>
  </conditionalFormatting>
  <conditionalFormatting sqref="R9">
    <cfRule type="expression" priority="347" dxfId="0">
      <formula>AND(ISNUMBER(R9),ISNUMBER(R8),R9&gt;R8)</formula>
    </cfRule>
    <cfRule type="expression" priority="348" dxfId="1">
      <formula>AND(ISNUMBER(R9),ISNUMBER(R8),R9&lt;R8)</formula>
    </cfRule>
  </conditionalFormatting>
  <conditionalFormatting sqref="R10">
    <cfRule type="expression" priority="349" dxfId="0">
      <formula>AND(ISNUMBER(R10),ISNUMBER(R9),R10&gt;R9)</formula>
    </cfRule>
    <cfRule type="expression" priority="350" dxfId="1">
      <formula>AND(ISNUMBER(R10),ISNUMBER(R9),R10&lt;R9)</formula>
    </cfRule>
  </conditionalFormatting>
  <conditionalFormatting sqref="R11">
    <cfRule type="expression" priority="351" dxfId="0">
      <formula>AND(ISNUMBER(R11),ISNUMBER(R10),R11&gt;R10)</formula>
    </cfRule>
    <cfRule type="expression" priority="352" dxfId="1">
      <formula>AND(ISNUMBER(R11),ISNUMBER(R10),R11&lt;R10)</formula>
    </cfRule>
  </conditionalFormatting>
  <conditionalFormatting sqref="R12">
    <cfRule type="expression" priority="353" dxfId="0">
      <formula>AND(ISNUMBER(R12),ISNUMBER(R11),R12&gt;R11)</formula>
    </cfRule>
    <cfRule type="expression" priority="354" dxfId="1">
      <formula>AND(ISNUMBER(R12),ISNUMBER(R11),R12&lt;R11)</formula>
    </cfRule>
  </conditionalFormatting>
  <conditionalFormatting sqref="R13">
    <cfRule type="expression" priority="355" dxfId="0">
      <formula>AND(ISNUMBER(R13),ISNUMBER(R12),R13&gt;R12)</formula>
    </cfRule>
    <cfRule type="expression" priority="356" dxfId="1">
      <formula>AND(ISNUMBER(R13),ISNUMBER(R12),R13&lt;R12)</formula>
    </cfRule>
  </conditionalFormatting>
  <conditionalFormatting sqref="R14">
    <cfRule type="expression" priority="357" dxfId="0">
      <formula>AND(ISNUMBER(R14),ISNUMBER(R13),R14&gt;R13)</formula>
    </cfRule>
    <cfRule type="expression" priority="358" dxfId="1">
      <formula>AND(ISNUMBER(R14),ISNUMBER(R13),R14&lt;R13)</formula>
    </cfRule>
  </conditionalFormatting>
  <conditionalFormatting sqref="R15">
    <cfRule type="expression" priority="359" dxfId="0">
      <formula>AND(ISNUMBER(R15),ISNUMBER(R14),R15&gt;R14)</formula>
    </cfRule>
    <cfRule type="expression" priority="360" dxfId="1">
      <formula>AND(ISNUMBER(R15),ISNUMBER(R14),R15&lt;R14)</formula>
    </cfRule>
  </conditionalFormatting>
  <conditionalFormatting sqref="S4">
    <cfRule type="expression" priority="361" dxfId="0">
      <formula>AND(ISNUMBER(S4),ISNUMBER(S3),S4&gt;S3)</formula>
    </cfRule>
    <cfRule type="expression" priority="362" dxfId="1">
      <formula>AND(ISNUMBER(S4),ISNUMBER(S3),S4&lt;S3)</formula>
    </cfRule>
  </conditionalFormatting>
  <conditionalFormatting sqref="S5">
    <cfRule type="expression" priority="363" dxfId="0">
      <formula>AND(ISNUMBER(S5),ISNUMBER(S4),S5&gt;S4)</formula>
    </cfRule>
    <cfRule type="expression" priority="364" dxfId="1">
      <formula>AND(ISNUMBER(S5),ISNUMBER(S4),S5&lt;S4)</formula>
    </cfRule>
  </conditionalFormatting>
  <conditionalFormatting sqref="S6">
    <cfRule type="expression" priority="365" dxfId="0">
      <formula>AND(ISNUMBER(S6),ISNUMBER(S5),S6&gt;S5)</formula>
    </cfRule>
    <cfRule type="expression" priority="366" dxfId="1">
      <formula>AND(ISNUMBER(S6),ISNUMBER(S5),S6&lt;S5)</formula>
    </cfRule>
  </conditionalFormatting>
  <conditionalFormatting sqref="S7">
    <cfRule type="expression" priority="367" dxfId="0">
      <formula>AND(ISNUMBER(S7),ISNUMBER(S6),S7&gt;S6)</formula>
    </cfRule>
    <cfRule type="expression" priority="368" dxfId="1">
      <formula>AND(ISNUMBER(S7),ISNUMBER(S6),S7&lt;S6)</formula>
    </cfRule>
  </conditionalFormatting>
  <conditionalFormatting sqref="S8">
    <cfRule type="expression" priority="369" dxfId="0">
      <formula>AND(ISNUMBER(S8),ISNUMBER(S7),S8&gt;S7)</formula>
    </cfRule>
    <cfRule type="expression" priority="370" dxfId="1">
      <formula>AND(ISNUMBER(S8),ISNUMBER(S7),S8&lt;S7)</formula>
    </cfRule>
  </conditionalFormatting>
  <conditionalFormatting sqref="S9">
    <cfRule type="expression" priority="371" dxfId="0">
      <formula>AND(ISNUMBER(S9),ISNUMBER(S8),S9&gt;S8)</formula>
    </cfRule>
    <cfRule type="expression" priority="372" dxfId="1">
      <formula>AND(ISNUMBER(S9),ISNUMBER(S8),S9&lt;S8)</formula>
    </cfRule>
  </conditionalFormatting>
  <conditionalFormatting sqref="S10">
    <cfRule type="expression" priority="373" dxfId="0">
      <formula>AND(ISNUMBER(S10),ISNUMBER(S9),S10&gt;S9)</formula>
    </cfRule>
    <cfRule type="expression" priority="374" dxfId="1">
      <formula>AND(ISNUMBER(S10),ISNUMBER(S9),S10&lt;S9)</formula>
    </cfRule>
  </conditionalFormatting>
  <conditionalFormatting sqref="S11">
    <cfRule type="expression" priority="375" dxfId="0">
      <formula>AND(ISNUMBER(S11),ISNUMBER(S10),S11&gt;S10)</formula>
    </cfRule>
    <cfRule type="expression" priority="376" dxfId="1">
      <formula>AND(ISNUMBER(S11),ISNUMBER(S10),S11&lt;S10)</formula>
    </cfRule>
  </conditionalFormatting>
  <conditionalFormatting sqref="S12">
    <cfRule type="expression" priority="377" dxfId="0">
      <formula>AND(ISNUMBER(S12),ISNUMBER(S11),S12&gt;S11)</formula>
    </cfRule>
    <cfRule type="expression" priority="378" dxfId="1">
      <formula>AND(ISNUMBER(S12),ISNUMBER(S11),S12&lt;S11)</formula>
    </cfRule>
  </conditionalFormatting>
  <conditionalFormatting sqref="S13">
    <cfRule type="expression" priority="379" dxfId="0">
      <formula>AND(ISNUMBER(S13),ISNUMBER(S12),S13&gt;S12)</formula>
    </cfRule>
    <cfRule type="expression" priority="380" dxfId="1">
      <formula>AND(ISNUMBER(S13),ISNUMBER(S12),S13&lt;S12)</formula>
    </cfRule>
  </conditionalFormatting>
  <conditionalFormatting sqref="S14">
    <cfRule type="expression" priority="381" dxfId="0">
      <formula>AND(ISNUMBER(S14),ISNUMBER(S13),S14&gt;S13)</formula>
    </cfRule>
    <cfRule type="expression" priority="382" dxfId="1">
      <formula>AND(ISNUMBER(S14),ISNUMBER(S13),S14&lt;S13)</formula>
    </cfRule>
  </conditionalFormatting>
  <conditionalFormatting sqref="S15">
    <cfRule type="expression" priority="383" dxfId="0">
      <formula>AND(ISNUMBER(S15),ISNUMBER(S14),S15&gt;S14)</formula>
    </cfRule>
    <cfRule type="expression" priority="384" dxfId="1">
      <formula>AND(ISNUMBER(S15),ISNUMBER(S14),S15&lt;S14)</formula>
    </cfRule>
  </conditionalFormatting>
  <conditionalFormatting sqref="T4">
    <cfRule type="expression" priority="385" dxfId="0">
      <formula>AND(ISNUMBER(T4),ISNUMBER(T3),T4&gt;T3)</formula>
    </cfRule>
    <cfRule type="expression" priority="386" dxfId="1">
      <formula>AND(ISNUMBER(T4),ISNUMBER(T3),T4&lt;T3)</formula>
    </cfRule>
  </conditionalFormatting>
  <conditionalFormatting sqref="T5">
    <cfRule type="expression" priority="387" dxfId="0">
      <formula>AND(ISNUMBER(T5),ISNUMBER(T4),T5&gt;T4)</formula>
    </cfRule>
    <cfRule type="expression" priority="388" dxfId="1">
      <formula>AND(ISNUMBER(T5),ISNUMBER(T4),T5&lt;T4)</formula>
    </cfRule>
  </conditionalFormatting>
  <conditionalFormatting sqref="T6">
    <cfRule type="expression" priority="389" dxfId="0">
      <formula>AND(ISNUMBER(T6),ISNUMBER(T5),T6&gt;T5)</formula>
    </cfRule>
    <cfRule type="expression" priority="390" dxfId="1">
      <formula>AND(ISNUMBER(T6),ISNUMBER(T5),T6&lt;T5)</formula>
    </cfRule>
  </conditionalFormatting>
  <conditionalFormatting sqref="T7">
    <cfRule type="expression" priority="391" dxfId="0">
      <formula>AND(ISNUMBER(T7),ISNUMBER(T6),T7&gt;T6)</formula>
    </cfRule>
    <cfRule type="expression" priority="392" dxfId="1">
      <formula>AND(ISNUMBER(T7),ISNUMBER(T6),T7&lt;T6)</formula>
    </cfRule>
  </conditionalFormatting>
  <conditionalFormatting sqref="T8">
    <cfRule type="expression" priority="393" dxfId="0">
      <formula>AND(ISNUMBER(T8),ISNUMBER(T7),T8&gt;T7)</formula>
    </cfRule>
    <cfRule type="expression" priority="394" dxfId="1">
      <formula>AND(ISNUMBER(T8),ISNUMBER(T7),T8&lt;T7)</formula>
    </cfRule>
  </conditionalFormatting>
  <conditionalFormatting sqref="T9">
    <cfRule type="expression" priority="395" dxfId="0">
      <formula>AND(ISNUMBER(T9),ISNUMBER(T8),T9&gt;T8)</formula>
    </cfRule>
    <cfRule type="expression" priority="396" dxfId="1">
      <formula>AND(ISNUMBER(T9),ISNUMBER(T8),T9&lt;T8)</formula>
    </cfRule>
  </conditionalFormatting>
  <conditionalFormatting sqref="T10">
    <cfRule type="expression" priority="397" dxfId="0">
      <formula>AND(ISNUMBER(T10),ISNUMBER(T9),T10&gt;T9)</formula>
    </cfRule>
    <cfRule type="expression" priority="398" dxfId="1">
      <formula>AND(ISNUMBER(T10),ISNUMBER(T9),T10&lt;T9)</formula>
    </cfRule>
  </conditionalFormatting>
  <conditionalFormatting sqref="T11">
    <cfRule type="expression" priority="399" dxfId="0">
      <formula>AND(ISNUMBER(T11),ISNUMBER(T10),T11&gt;T10)</formula>
    </cfRule>
    <cfRule type="expression" priority="400" dxfId="1">
      <formula>AND(ISNUMBER(T11),ISNUMBER(T10),T11&lt;T10)</formula>
    </cfRule>
  </conditionalFormatting>
  <conditionalFormatting sqref="T12">
    <cfRule type="expression" priority="401" dxfId="0">
      <formula>AND(ISNUMBER(T12),ISNUMBER(T11),T12&gt;T11)</formula>
    </cfRule>
    <cfRule type="expression" priority="402" dxfId="1">
      <formula>AND(ISNUMBER(T12),ISNUMBER(T11),T12&lt;T11)</formula>
    </cfRule>
  </conditionalFormatting>
  <conditionalFormatting sqref="T13">
    <cfRule type="expression" priority="403" dxfId="0">
      <formula>AND(ISNUMBER(T13),ISNUMBER(T12),T13&gt;T12)</formula>
    </cfRule>
    <cfRule type="expression" priority="404" dxfId="1">
      <formula>AND(ISNUMBER(T13),ISNUMBER(T12),T13&lt;T12)</formula>
    </cfRule>
  </conditionalFormatting>
  <conditionalFormatting sqref="T14">
    <cfRule type="expression" priority="405" dxfId="0">
      <formula>AND(ISNUMBER(T14),ISNUMBER(T13),T14&gt;T13)</formula>
    </cfRule>
    <cfRule type="expression" priority="406" dxfId="1">
      <formula>AND(ISNUMBER(T14),ISNUMBER(T13),T14&lt;T13)</formula>
    </cfRule>
  </conditionalFormatting>
  <conditionalFormatting sqref="T15">
    <cfRule type="expression" priority="407" dxfId="0">
      <formula>AND(ISNUMBER(T15),ISNUMBER(T14),T15&gt;T14)</formula>
    </cfRule>
    <cfRule type="expression" priority="408" dxfId="1">
      <formula>AND(ISNUMBER(T15),ISNUMBER(T14),T15&lt;T14)</formula>
    </cfRule>
  </conditionalFormatting>
  <conditionalFormatting sqref="F4">
    <cfRule type="expression" priority="409" dxfId="0">
      <formula>AND(ISNUMBER(F4),F4&gt;0)</formula>
    </cfRule>
    <cfRule type="expression" priority="410" dxfId="1">
      <formula>AND(ISNUMBER(F4),F4&lt;0)</formula>
    </cfRule>
  </conditionalFormatting>
  <conditionalFormatting sqref="F5">
    <cfRule type="expression" priority="411" dxfId="0">
      <formula>AND(ISNUMBER(F5),F5&gt;0)</formula>
    </cfRule>
    <cfRule type="expression" priority="412" dxfId="1">
      <formula>AND(ISNUMBER(F5),F5&lt;0)</formula>
    </cfRule>
  </conditionalFormatting>
  <conditionalFormatting sqref="F6">
    <cfRule type="expression" priority="413" dxfId="0">
      <formula>AND(ISNUMBER(F6),F6&gt;0)</formula>
    </cfRule>
    <cfRule type="expression" priority="414" dxfId="1">
      <formula>AND(ISNUMBER(F6),F6&lt;0)</formula>
    </cfRule>
  </conditionalFormatting>
  <conditionalFormatting sqref="F7">
    <cfRule type="expression" priority="415" dxfId="0">
      <formula>AND(ISNUMBER(F7),F7&gt;0)</formula>
    </cfRule>
    <cfRule type="expression" priority="416" dxfId="1">
      <formula>AND(ISNUMBER(F7),F7&lt;0)</formula>
    </cfRule>
  </conditionalFormatting>
  <conditionalFormatting sqref="F8">
    <cfRule type="expression" priority="417" dxfId="0">
      <formula>AND(ISNUMBER(F8),F8&gt;0)</formula>
    </cfRule>
    <cfRule type="expression" priority="418" dxfId="1">
      <formula>AND(ISNUMBER(F8),F8&lt;0)</formula>
    </cfRule>
  </conditionalFormatting>
  <conditionalFormatting sqref="F9">
    <cfRule type="expression" priority="419" dxfId="0">
      <formula>AND(ISNUMBER(F9),F9&gt;0)</formula>
    </cfRule>
    <cfRule type="expression" priority="420" dxfId="1">
      <formula>AND(ISNUMBER(F9),F9&lt;0)</formula>
    </cfRule>
  </conditionalFormatting>
  <conditionalFormatting sqref="F10">
    <cfRule type="expression" priority="421" dxfId="0">
      <formula>AND(ISNUMBER(F10),F10&gt;0)</formula>
    </cfRule>
    <cfRule type="expression" priority="422" dxfId="1">
      <formula>AND(ISNUMBER(F10),F10&lt;0)</formula>
    </cfRule>
  </conditionalFormatting>
  <conditionalFormatting sqref="F11">
    <cfRule type="expression" priority="423" dxfId="0">
      <formula>AND(ISNUMBER(F11),F11&gt;0)</formula>
    </cfRule>
    <cfRule type="expression" priority="424" dxfId="1">
      <formula>AND(ISNUMBER(F11),F11&lt;0)</formula>
    </cfRule>
  </conditionalFormatting>
  <conditionalFormatting sqref="F12">
    <cfRule type="expression" priority="425" dxfId="0">
      <formula>AND(ISNUMBER(F12),F12&gt;0)</formula>
    </cfRule>
    <cfRule type="expression" priority="426" dxfId="1">
      <formula>AND(ISNUMBER(F12),F12&lt;0)</formula>
    </cfRule>
  </conditionalFormatting>
  <conditionalFormatting sqref="F13">
    <cfRule type="expression" priority="427" dxfId="0">
      <formula>AND(ISNUMBER(F13),F13&gt;0)</formula>
    </cfRule>
    <cfRule type="expression" priority="428" dxfId="1">
      <formula>AND(ISNUMBER(F13),F13&lt;0)</formula>
    </cfRule>
  </conditionalFormatting>
  <conditionalFormatting sqref="F14">
    <cfRule type="expression" priority="429" dxfId="0">
      <formula>AND(ISNUMBER(F14),F14&gt;0)</formula>
    </cfRule>
    <cfRule type="expression" priority="430" dxfId="1">
      <formula>AND(ISNUMBER(F14),F14&lt;0)</formula>
    </cfRule>
  </conditionalFormatting>
  <conditionalFormatting sqref="F15">
    <cfRule type="expression" priority="431" dxfId="0">
      <formula>AND(ISNUMBER(F15),F15&gt;0)</formula>
    </cfRule>
    <cfRule type="expression" priority="432" dxfId="1">
      <formula>AND(ISNUMBER(F15),F15&lt;0)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22" customWidth="1" min="3" max="3"/>
    <col width="14" customWidth="1" min="4" max="4"/>
    <col width="16" customWidth="1" min="5" max="5"/>
  </cols>
  <sheetData>
    <row r="1">
      <c r="A1" s="33" t="inlineStr">
        <is>
          <t>Web Slot Performance — 1 Jun 2025 – 1 Jun 2026</t>
        </is>
      </c>
    </row>
    <row r="2">
      <c r="A2" s="34" t="inlineStr">
        <is>
          <t>Web slots only. Email campaign slots excluded. Revenue = on-site + off-site.</t>
        </is>
      </c>
    </row>
    <row r="4">
      <c r="A4" s="3" t="inlineStr">
        <is>
          <t>Brand</t>
        </is>
      </c>
      <c r="B4" s="3" t="inlineStr">
        <is>
          <t>Web Attributed Revenue (£)</t>
        </is>
      </c>
      <c r="C4" s="3" t="inlineStr">
        <is>
          <t>% of Total Web</t>
        </is>
      </c>
    </row>
    <row r="5">
      <c r="A5" s="35" t="inlineStr">
        <is>
          <t>You Garden</t>
        </is>
      </c>
      <c r="B5" s="36" t="n">
        <v>254369.18</v>
      </c>
      <c r="C5" s="37" t="n">
        <v>0.7861614007508442</v>
      </c>
    </row>
    <row r="6">
      <c r="A6" s="35" t="inlineStr">
        <is>
          <t>Gardening Direct</t>
        </is>
      </c>
      <c r="B6" s="36" t="n">
        <v>35254.07</v>
      </c>
      <c r="C6" s="37" t="n">
        <v>0.1089573393025378</v>
      </c>
    </row>
    <row r="7">
      <c r="A7" s="35" t="inlineStr">
        <is>
          <t>Other</t>
        </is>
      </c>
      <c r="B7" s="36" t="n">
        <v>26578.15</v>
      </c>
      <c r="C7" s="37" t="n">
        <v>0.08214326764494838</v>
      </c>
    </row>
    <row r="8">
      <c r="A8" s="35" t="inlineStr">
        <is>
          <t>Roses (Harkness)</t>
        </is>
      </c>
      <c r="B8" s="36" t="n">
        <v>7167.219999999999</v>
      </c>
      <c r="C8" s="37" t="n">
        <v>0.02215123591108587</v>
      </c>
    </row>
    <row r="9">
      <c r="A9" s="35" t="inlineStr">
        <is>
          <t>Mailshop</t>
        </is>
      </c>
      <c r="B9" s="36" t="n">
        <v>189.85</v>
      </c>
      <c r="C9" s="37" t="n">
        <v>0.0005867563905837483</v>
      </c>
    </row>
    <row r="10">
      <c r="A10" s="38" t="inlineStr">
        <is>
          <t>Total Web</t>
        </is>
      </c>
      <c r="B10" s="39" t="n">
        <v>323558.47</v>
      </c>
      <c r="C10" s="40" t="n">
        <v>1</v>
      </c>
    </row>
    <row r="12">
      <c r="A12" s="3" t="inlineStr">
        <is>
          <t>Brand</t>
        </is>
      </c>
      <c r="B12" s="3" t="inlineStr">
        <is>
          <t>Slot</t>
        </is>
      </c>
      <c r="C12" s="3" t="inlineStr">
        <is>
          <t>Attributed Revenue (£)</t>
        </is>
      </c>
      <c r="D12" s="3" t="inlineStr">
        <is>
          <t>% of Brand</t>
        </is>
      </c>
      <c r="E12" s="3" t="inlineStr">
        <is>
          <t>% of Total Web</t>
        </is>
      </c>
    </row>
    <row r="13">
      <c r="A13" s="35" t="inlineStr">
        <is>
          <t>You Garden</t>
        </is>
      </c>
      <c r="B13" s="41" t="inlineStr">
        <is>
          <t>YG - PDP - Customers Also Viewed</t>
        </is>
      </c>
      <c r="C13" s="36" t="n">
        <v>219182.79</v>
      </c>
      <c r="D13" s="37" t="n">
        <v>0.8616719604159594</v>
      </c>
      <c r="E13" s="37" t="n">
        <v>0.6774132353883365</v>
      </c>
    </row>
    <row r="14">
      <c r="A14" s="35" t="inlineStr">
        <is>
          <t>You Garden</t>
        </is>
      </c>
      <c r="B14" s="41" t="inlineStr">
        <is>
          <t>YG - Ideal to Plant Next Month</t>
        </is>
      </c>
      <c r="C14" s="36" t="n">
        <v>9445.91</v>
      </c>
      <c r="D14" s="37" t="n">
        <v>0.03713464815194986</v>
      </c>
      <c r="E14" s="37" t="n">
        <v>0.02919382700752665</v>
      </c>
    </row>
    <row r="15">
      <c r="A15" s="35" t="inlineStr">
        <is>
          <t>You Garden</t>
        </is>
      </c>
      <c r="B15" s="41" t="inlineStr">
        <is>
          <t>YG - Homepage/404 - Most Popular Products (hjh1r4a)</t>
        </is>
      </c>
      <c r="C15" s="36" t="n">
        <v>7806.139999999999</v>
      </c>
      <c r="D15" s="37" t="n">
        <v>0.03068823039017542</v>
      </c>
      <c r="E15" s="37" t="n">
        <v>0.02412590219010493</v>
      </c>
    </row>
    <row r="16">
      <c r="A16" s="35" t="inlineStr">
        <is>
          <t>You Garden</t>
        </is>
      </c>
      <c r="B16" s="41" t="inlineStr">
        <is>
          <t>YG - Cart - Upsell/Impulse Buys X2</t>
        </is>
      </c>
      <c r="C16" s="36" t="n">
        <v>5054.94</v>
      </c>
      <c r="D16" s="37" t="n">
        <v>0.01987245467395067</v>
      </c>
      <c r="E16" s="37" t="n">
        <v>0.01562295680283072</v>
      </c>
    </row>
    <row r="17">
      <c r="A17" s="35" t="inlineStr">
        <is>
          <t>You Garden</t>
        </is>
      </c>
      <c r="B17" s="41" t="inlineStr">
        <is>
          <t>Yg - Exit - New - Min</t>
        </is>
      </c>
      <c r="C17" s="36" t="n">
        <v>3805.28</v>
      </c>
      <c r="D17" s="37" t="n">
        <v>0.01495967396679111</v>
      </c>
      <c r="E17" s="37" t="n">
        <v>0.01176071824050843</v>
      </c>
    </row>
    <row r="18">
      <c r="A18" s="35" t="inlineStr">
        <is>
          <t>You Garden</t>
        </is>
      </c>
      <c r="B18" s="41" t="inlineStr">
        <is>
          <t>YG - Cart - Customers Also Bought (awrugam)</t>
        </is>
      </c>
      <c r="C18" s="36" t="n">
        <v>2137.29</v>
      </c>
      <c r="D18" s="37" t="n">
        <v>0.00840231509178903</v>
      </c>
      <c r="E18" s="37" t="n">
        <v>0.006605575802110821</v>
      </c>
    </row>
    <row r="19">
      <c r="A19" s="35" t="inlineStr">
        <is>
          <t>You Garden</t>
        </is>
      </c>
      <c r="B19" s="41" t="inlineStr">
        <is>
          <t>YG - Category Cards x 4 - New Design</t>
        </is>
      </c>
      <c r="C19" s="36" t="n">
        <v>1805.18</v>
      </c>
      <c r="D19" s="37" t="n">
        <v>0.007096693082078577</v>
      </c>
      <c r="E19" s="37" t="n">
        <v>0.00557914617410572</v>
      </c>
    </row>
    <row r="20">
      <c r="A20" s="35" t="inlineStr">
        <is>
          <t>You Garden</t>
        </is>
      </c>
      <c r="B20" s="41" t="inlineStr">
        <is>
          <t>YG - Promo Block - Master - New A</t>
        </is>
      </c>
      <c r="C20" s="36" t="n">
        <v>867.92</v>
      </c>
      <c r="D20" s="37" t="n">
        <v>0.003412048582300734</v>
      </c>
      <c r="E20" s="37" t="n">
        <v>0.002682420892891476</v>
      </c>
    </row>
    <row r="21">
      <c r="A21" s="35" t="inlineStr">
        <is>
          <t>You Garden</t>
        </is>
      </c>
      <c r="B21" s="41" t="inlineStr">
        <is>
          <t>YG - Exit Intent - Most Popular Products</t>
        </is>
      </c>
      <c r="C21" s="36" t="n">
        <v>727.63</v>
      </c>
      <c r="D21" s="37" t="n">
        <v>0.002860527364203478</v>
      </c>
      <c r="E21" s="37" t="n">
        <v>0.002248836199528327</v>
      </c>
    </row>
    <row r="22">
      <c r="A22" s="35" t="inlineStr">
        <is>
          <t>You Garden</t>
        </is>
      </c>
      <c r="B22" s="41" t="inlineStr">
        <is>
          <t>YG - Category - Most Popular</t>
        </is>
      </c>
      <c r="C22" s="36" t="n">
        <v>599.59</v>
      </c>
      <c r="D22" s="37" t="n">
        <v>0.002357164496107587</v>
      </c>
      <c r="E22" s="37" t="n">
        <v>0.001853111742060098</v>
      </c>
    </row>
    <row r="23">
      <c r="A23" s="35" t="inlineStr">
        <is>
          <t>You Garden</t>
        </is>
      </c>
      <c r="B23" s="41" t="inlineStr">
        <is>
          <t>YG - Category Cards x 4 - New Design - 2</t>
        </is>
      </c>
      <c r="C23" s="36" t="n">
        <v>597.36</v>
      </c>
      <c r="D23" s="37" t="n">
        <v>0.0023483977107604</v>
      </c>
      <c r="E23" s="37" t="n">
        <v>0.001846219633811472</v>
      </c>
    </row>
    <row r="24">
      <c r="A24" s="35" t="inlineStr">
        <is>
          <t>You Garden</t>
        </is>
      </c>
      <c r="B24" s="41" t="inlineStr">
        <is>
          <t>YG - Category Cards x 4 - New Design - 3</t>
        </is>
      </c>
      <c r="C24" s="36" t="n">
        <v>594.58</v>
      </c>
      <c r="D24" s="37" t="n">
        <v>0.002337468713780499</v>
      </c>
      <c r="E24" s="37" t="n">
        <v>0.001837627678236951</v>
      </c>
    </row>
    <row r="25">
      <c r="A25" s="35" t="inlineStr">
        <is>
          <t>You Garden</t>
        </is>
      </c>
      <c r="B25" s="41" t="inlineStr">
        <is>
          <t>YG - SALE - New Design</t>
        </is>
      </c>
      <c r="C25" s="36" t="n">
        <v>428.45</v>
      </c>
      <c r="D25" s="37" t="n">
        <v>0.001684362861884447</v>
      </c>
      <c r="E25" s="37" t="n">
        <v>0.001324181066871777</v>
      </c>
    </row>
    <row r="26">
      <c r="A26" s="35" t="inlineStr">
        <is>
          <t>You Garden</t>
        </is>
      </c>
      <c r="B26" s="41" t="inlineStr">
        <is>
          <t>YG - Banner - Banner - Update</t>
        </is>
      </c>
      <c r="C26" s="36" t="n">
        <v>405.68</v>
      </c>
      <c r="D26" s="37" t="n">
        <v>0.001594847300290075</v>
      </c>
      <c r="E26" s="37" t="n">
        <v>0.001253807387579747</v>
      </c>
    </row>
    <row r="27">
      <c r="A27" s="35" t="inlineStr">
        <is>
          <t>You Garden</t>
        </is>
      </c>
      <c r="B27" s="41" t="inlineStr">
        <is>
          <t>YG - Basket Pop Up</t>
        </is>
      </c>
      <c r="C27" s="36" t="n">
        <v>190.28</v>
      </c>
      <c r="D27" s="37" t="n">
        <v>0.0007480465990415978</v>
      </c>
      <c r="E27" s="37" t="n">
        <v>0.0005880853621294476</v>
      </c>
    </row>
    <row r="28">
      <c r="A28" s="35" t="inlineStr">
        <is>
          <t>You Garden</t>
        </is>
      </c>
      <c r="B28" s="41" t="inlineStr">
        <is>
          <t>SALE Strip Banner</t>
        </is>
      </c>
      <c r="C28" s="36" t="n">
        <v>165.82</v>
      </c>
      <c r="D28" s="37" t="n">
        <v>0.000651887150793976</v>
      </c>
      <c r="E28" s="37" t="n">
        <v>0.0005124885155996689</v>
      </c>
    </row>
    <row r="29">
      <c r="A29" s="35" t="inlineStr">
        <is>
          <t>You Garden</t>
        </is>
      </c>
      <c r="B29" s="41" t="inlineStr">
        <is>
          <t>YG - PDP - You Might Need</t>
        </is>
      </c>
      <c r="C29" s="36" t="n">
        <v>133.34</v>
      </c>
      <c r="D29" s="37" t="n">
        <v>0.0005241987256475019</v>
      </c>
      <c r="E29" s="37" t="n">
        <v>0.0004121048044268476</v>
      </c>
    </row>
    <row r="30">
      <c r="A30" s="35" t="inlineStr">
        <is>
          <t>You Garden</t>
        </is>
      </c>
      <c r="B30" s="41" t="inlineStr">
        <is>
          <t>YG - Hero Banner - Multi New 1</t>
        </is>
      </c>
      <c r="C30" s="36" t="n">
        <v>123.03</v>
      </c>
      <c r="D30" s="37" t="n">
        <v>0.0004836670857688027</v>
      </c>
      <c r="E30" s="37" t="n">
        <v>0.0003802403936450806</v>
      </c>
    </row>
    <row r="31">
      <c r="A31" s="35" t="inlineStr">
        <is>
          <t>You Garden</t>
        </is>
      </c>
      <c r="B31" s="41" t="inlineStr">
        <is>
          <t>YG - Hero Banner - Default Variant New A</t>
        </is>
      </c>
      <c r="C31" s="36" t="n">
        <v>98.18000000000001</v>
      </c>
      <c r="D31" s="37" t="n">
        <v>0.0003859744329088926</v>
      </c>
      <c r="E31" s="37" t="n">
        <v>0.0003034382008296677</v>
      </c>
    </row>
    <row r="32">
      <c r="A32" s="35" t="inlineStr">
        <is>
          <t>You Garden</t>
        </is>
      </c>
      <c r="B32" s="41" t="inlineStr">
        <is>
          <t>YG - 404 error - Most Popular</t>
        </is>
      </c>
      <c r="C32" s="36" t="n">
        <v>94.93000000000001</v>
      </c>
      <c r="D32" s="37" t="n">
        <v>0.0003731977278064899</v>
      </c>
      <c r="E32" s="37" t="n">
        <v>0.0002933936484493823</v>
      </c>
    </row>
    <row r="33">
      <c r="A33" s="35" t="inlineStr">
        <is>
          <t>You Garden</t>
        </is>
      </c>
      <c r="B33" s="41" t="inlineStr">
        <is>
          <t>YG - Homepage Sale</t>
        </is>
      </c>
      <c r="C33" s="36" t="n">
        <v>77.92</v>
      </c>
      <c r="D33" s="37" t="n">
        <v>0.0003063264189474527</v>
      </c>
      <c r="E33" s="37" t="n">
        <v>0.0002408220066067194</v>
      </c>
    </row>
    <row r="34">
      <c r="A34" s="35" t="inlineStr">
        <is>
          <t>You Garden</t>
        </is>
      </c>
      <c r="B34" s="41" t="inlineStr">
        <is>
          <t>0001 - YG - Category Block - Master</t>
        </is>
      </c>
      <c r="C34" s="36" t="n">
        <v>26.94</v>
      </c>
      <c r="D34" s="37" t="n">
        <v>0.0001059090570642245</v>
      </c>
      <c r="E34" s="37" t="n">
        <v>8.326161265381185e-05</v>
      </c>
    </row>
    <row r="35">
      <c r="A35" s="35" t="inlineStr">
        <is>
          <t>Gardening Direct</t>
        </is>
      </c>
      <c r="B35" s="41" t="inlineStr">
        <is>
          <t>GD - PDP - Recommended (tsc1acy)</t>
        </is>
      </c>
      <c r="C35" s="36" t="n">
        <v>18351.44</v>
      </c>
      <c r="D35" s="37" t="n">
        <v>0.5205481239471074</v>
      </c>
      <c r="E35" s="37" t="n">
        <v>0.05671753856420449</v>
      </c>
    </row>
    <row r="36">
      <c r="A36" s="35" t="inlineStr">
        <is>
          <t>Gardening Direct</t>
        </is>
      </c>
      <c r="B36" s="41" t="inlineStr">
        <is>
          <t>GD - Ideal to Plant Next Month</t>
        </is>
      </c>
      <c r="C36" s="36" t="n">
        <v>5339.63</v>
      </c>
      <c r="D36" s="37" t="n">
        <v>0.151461377367209</v>
      </c>
      <c r="E36" s="37" t="n">
        <v>0.01650282868502871</v>
      </c>
    </row>
    <row r="37">
      <c r="A37" s="35" t="inlineStr">
        <is>
          <t>Gardening Direct</t>
        </is>
      </c>
      <c r="B37" s="41" t="inlineStr">
        <is>
          <t>GD - Hero Banner - Rotation</t>
        </is>
      </c>
      <c r="C37" s="36" t="n">
        <v>3964.02</v>
      </c>
      <c r="D37" s="37" t="n">
        <v>0.1124414854795489</v>
      </c>
      <c r="E37" s="37" t="n">
        <v>0.01225132508507659</v>
      </c>
    </row>
    <row r="38">
      <c r="A38" s="35" t="inlineStr">
        <is>
          <t>Gardening Direct</t>
        </is>
      </c>
      <c r="B38" s="41" t="inlineStr">
        <is>
          <t>GD Categories Section - Variant X</t>
        </is>
      </c>
      <c r="C38" s="36" t="n">
        <v>1958.44</v>
      </c>
      <c r="D38" s="37" t="n">
        <v>0.05555216745187152</v>
      </c>
      <c r="E38" s="37" t="n">
        <v>0.006052816358044963</v>
      </c>
    </row>
    <row r="39">
      <c r="A39" s="35" t="inlineStr">
        <is>
          <t>Gardening Direct</t>
        </is>
      </c>
      <c r="B39" s="41" t="inlineStr">
        <is>
          <t>GD - Homepage - FTV - Popular Items 1 (ow155tp)</t>
        </is>
      </c>
      <c r="C39" s="36" t="n">
        <v>1191.62</v>
      </c>
      <c r="D39" s="37" t="n">
        <v>0.03380092000725023</v>
      </c>
      <c r="E39" s="37" t="n">
        <v>0.003682858309967901</v>
      </c>
    </row>
    <row r="40">
      <c r="A40" s="35" t="inlineStr">
        <is>
          <t>Gardening Direct</t>
        </is>
      </c>
      <c r="B40" s="41" t="inlineStr">
        <is>
          <t>GD -  Cart - Customers Also Bought x2</t>
        </is>
      </c>
      <c r="C40" s="36" t="n">
        <v>798.3099999999999</v>
      </c>
      <c r="D40" s="37" t="n">
        <v>0.02264447764470882</v>
      </c>
      <c r="E40" s="37" t="n">
        <v>0.002467282034063272</v>
      </c>
    </row>
    <row r="41">
      <c r="A41" s="35" t="inlineStr">
        <is>
          <t>Gardening Direct</t>
        </is>
      </c>
      <c r="B41" s="41" t="inlineStr">
        <is>
          <t>GD - Category Page - FTV - Most Popular Items (feodoyv)</t>
        </is>
      </c>
      <c r="C41" s="36" t="n">
        <v>693.3099999999999</v>
      </c>
      <c r="D41" s="37" t="n">
        <v>0.01966609812710986</v>
      </c>
      <c r="E41" s="37" t="n">
        <v>0.002142765726392513</v>
      </c>
    </row>
    <row r="42">
      <c r="A42" s="35" t="inlineStr">
        <is>
          <t>Gardening Direct</t>
        </is>
      </c>
      <c r="B42" s="41" t="inlineStr">
        <is>
          <t>GD - Cart - Basket</t>
        </is>
      </c>
      <c r="C42" s="36" t="n">
        <v>581.08</v>
      </c>
      <c r="D42" s="37" t="n">
        <v>0.0164826359055848</v>
      </c>
      <c r="E42" s="37" t="n">
        <v>0.001795904152964996</v>
      </c>
    </row>
    <row r="43">
      <c r="A43" s="35" t="inlineStr">
        <is>
          <t>Gardening Direct</t>
        </is>
      </c>
      <c r="B43" s="41" t="inlineStr">
        <is>
          <t>GD - Exit - New - Min</t>
        </is>
      </c>
      <c r="C43" s="36" t="n">
        <v>577.08</v>
      </c>
      <c r="D43" s="37" t="n">
        <v>0.01636917382872389</v>
      </c>
      <c r="E43" s="37" t="n">
        <v>0.001783541626958491</v>
      </c>
    </row>
    <row r="44">
      <c r="A44" s="35" t="inlineStr">
        <is>
          <t>Gardening Direct</t>
        </is>
      </c>
      <c r="B44" s="41" t="inlineStr">
        <is>
          <t>GD - Hero Banner - Rotate 1</t>
        </is>
      </c>
      <c r="C44" s="36" t="n">
        <v>555.6900000000001</v>
      </c>
      <c r="D44" s="37" t="n">
        <v>0.01576243537271016</v>
      </c>
      <c r="E44" s="37" t="n">
        <v>0.001717433019138705</v>
      </c>
    </row>
    <row r="45">
      <c r="A45" s="35" t="inlineStr">
        <is>
          <t>Gardening Direct</t>
        </is>
      </c>
      <c r="B45" s="41" t="inlineStr">
        <is>
          <t>GD - Cart - Upsell - Cart Price</t>
        </is>
      </c>
      <c r="C45" s="36" t="n">
        <v>521.4299999999999</v>
      </c>
      <c r="D45" s="37" t="n">
        <v>0.01479063268439644</v>
      </c>
      <c r="E45" s="37" t="n">
        <v>0.001611547983892988</v>
      </c>
    </row>
    <row r="46">
      <c r="A46" s="35" t="inlineStr">
        <is>
          <t>Gardening Direct</t>
        </is>
      </c>
      <c r="B46" s="41" t="inlineStr">
        <is>
          <t>GD - Exit Intent - Similar Products New</t>
        </is>
      </c>
      <c r="C46" s="36" t="n">
        <v>325.62</v>
      </c>
      <c r="D46" s="37" t="n">
        <v>0.009236380366862607</v>
      </c>
      <c r="E46" s="37" t="n">
        <v>0.001006371429559548</v>
      </c>
    </row>
    <row r="47">
      <c r="A47" s="35" t="inlineStr">
        <is>
          <t>Gardening Direct</t>
        </is>
      </c>
      <c r="B47" s="41" t="inlineStr">
        <is>
          <t>GD - New In</t>
        </is>
      </c>
      <c r="C47" s="36" t="n">
        <v>272.52</v>
      </c>
      <c r="D47" s="37" t="n">
        <v>0.007730171296533988</v>
      </c>
      <c r="E47" s="37" t="n">
        <v>0.0008422588968231924</v>
      </c>
    </row>
    <row r="48">
      <c r="A48" s="35" t="inlineStr">
        <is>
          <t>Gardening Direct</t>
        </is>
      </c>
      <c r="B48" s="41" t="inlineStr">
        <is>
          <t>GD - Basket Pop Up</t>
        </is>
      </c>
      <c r="C48" s="36" t="n">
        <v>70.94</v>
      </c>
      <c r="D48" s="37" t="n">
        <v>0.002012249933128288</v>
      </c>
      <c r="E48" s="37" t="n">
        <v>0.0002192493987253679</v>
      </c>
    </row>
    <row r="49">
      <c r="A49" s="35" t="inlineStr">
        <is>
          <t>Gardening Direct</t>
        </is>
      </c>
      <c r="B49" s="41" t="inlineStr">
        <is>
          <t>GD - 404 - Most Popular Products</t>
        </is>
      </c>
      <c r="C49" s="36" t="n">
        <v>29.97</v>
      </c>
      <c r="D49" s="37" t="n">
        <v>0.0008501146108803891</v>
      </c>
      <c r="E49" s="37" t="n">
        <v>9.262622610373947e-05</v>
      </c>
    </row>
    <row r="50">
      <c r="A50" s="35" t="inlineStr">
        <is>
          <t>Gardening Direct</t>
        </is>
      </c>
      <c r="B50" s="41" t="inlineStr">
        <is>
          <t>GD -  Cart - Customers Also Bought Alt (mx3oaye)</t>
        </is>
      </c>
      <c r="C50" s="36" t="n">
        <v>22.97</v>
      </c>
      <c r="D50" s="37" t="n">
        <v>0.0006515559763737917</v>
      </c>
      <c r="E50" s="37" t="n">
        <v>7.099180559235553e-05</v>
      </c>
    </row>
    <row r="51">
      <c r="A51" s="35" t="inlineStr">
        <is>
          <t>Other</t>
        </is>
      </c>
      <c r="B51" s="41" t="inlineStr">
        <is>
          <t>Homepage/PDP - Recently Viewed</t>
        </is>
      </c>
      <c r="C51" s="36" t="n">
        <v>11999.23</v>
      </c>
      <c r="D51" s="37" t="n">
        <v>0.4514697223094911</v>
      </c>
      <c r="E51" s="37" t="n">
        <v>0.03708519823325905</v>
      </c>
    </row>
    <row r="52">
      <c r="A52" s="35" t="inlineStr">
        <is>
          <t>Other</t>
        </is>
      </c>
      <c r="B52" s="41" t="inlineStr">
        <is>
          <t>Homepage/404 - Most Popular Products</t>
        </is>
      </c>
      <c r="C52" s="36" t="n">
        <v>7715.46</v>
      </c>
      <c r="D52" s="37" t="n">
        <v>0.2902933424636402</v>
      </c>
      <c r="E52" s="37" t="n">
        <v>0.02384564372553746</v>
      </c>
    </row>
    <row r="53">
      <c r="A53" s="35" t="inlineStr">
        <is>
          <t>Other</t>
        </is>
      </c>
      <c r="B53" s="41" t="inlineStr">
        <is>
          <t>Cart - Basket</t>
        </is>
      </c>
      <c r="C53" s="36" t="n">
        <v>6863.46</v>
      </c>
      <c r="D53" s="37" t="n">
        <v>0.2582369352268687</v>
      </c>
      <c r="E53" s="37" t="n">
        <v>0.02121242568615187</v>
      </c>
    </row>
    <row r="54">
      <c r="A54" s="35" t="inlineStr">
        <is>
          <t>Roses (Harkness)</t>
        </is>
      </c>
      <c r="B54" s="41" t="inlineStr">
        <is>
          <t>HRK - PDP - Recommended</t>
        </is>
      </c>
      <c r="C54" s="36" t="n">
        <v>3431.09</v>
      </c>
      <c r="D54" s="37" t="n">
        <v>0.4787197825656251</v>
      </c>
      <c r="E54" s="37" t="n">
        <v>0.01060423483891489</v>
      </c>
    </row>
    <row r="55">
      <c r="A55" s="35" t="inlineStr">
        <is>
          <t>Roses (Harkness)</t>
        </is>
      </c>
      <c r="B55" s="41" t="inlineStr">
        <is>
          <t>HRK - Home</t>
        </is>
      </c>
      <c r="C55" s="36" t="n">
        <v>2688.57</v>
      </c>
      <c r="D55" s="37" t="n">
        <v>0.3751203395458769</v>
      </c>
      <c r="E55" s="37" t="n">
        <v>0.008309379136327354</v>
      </c>
    </row>
    <row r="56">
      <c r="A56" s="35" t="inlineStr">
        <is>
          <t>Roses (Harkness)</t>
        </is>
      </c>
      <c r="B56" s="41" t="inlineStr">
        <is>
          <t>HRK - Cart - Upsell</t>
        </is>
      </c>
      <c r="C56" s="36" t="n">
        <v>605.83</v>
      </c>
      <c r="D56" s="37" t="n">
        <v>0.08452789226506234</v>
      </c>
      <c r="E56" s="37" t="n">
        <v>0.001872397282630246</v>
      </c>
    </row>
    <row r="57">
      <c r="A57" s="35" t="inlineStr">
        <is>
          <t>Roses (Harkness)</t>
        </is>
      </c>
      <c r="B57" s="41" t="inlineStr">
        <is>
          <t>HRK - Empty Cart  - Most Popular</t>
        </is>
      </c>
      <c r="C57" s="36" t="n">
        <v>268.4</v>
      </c>
      <c r="D57" s="37" t="n">
        <v>0.03744827143578682</v>
      </c>
      <c r="E57" s="37" t="n">
        <v>0.0008295254950364922</v>
      </c>
    </row>
    <row r="58">
      <c r="A58" s="35" t="inlineStr">
        <is>
          <t>Roses (Harkness)</t>
        </is>
      </c>
      <c r="B58" s="41" t="inlineStr">
        <is>
          <t>HRK - Basket Pop Up</t>
        </is>
      </c>
      <c r="C58" s="36" t="n">
        <v>173.33</v>
      </c>
      <c r="D58" s="37" t="n">
        <v>0.02418371418764877</v>
      </c>
      <c r="E58" s="37" t="n">
        <v>0.0005356991581768823</v>
      </c>
    </row>
    <row r="59">
      <c r="A59" s="35" t="inlineStr">
        <is>
          <t>Mailshop</t>
        </is>
      </c>
      <c r="B59" s="41" t="inlineStr">
        <is>
          <t>MS - PDP - Recommended</t>
        </is>
      </c>
      <c r="C59" s="36" t="n">
        <v>114.93</v>
      </c>
      <c r="D59" s="37" t="n">
        <v>0.6053726626283908</v>
      </c>
      <c r="E59" s="37" t="n">
        <v>0.0003552062784819078</v>
      </c>
    </row>
    <row r="60">
      <c r="A60" s="35" t="inlineStr">
        <is>
          <t>Mailshop</t>
        </is>
      </c>
      <c r="B60" s="41" t="inlineStr">
        <is>
          <t>MS - Cart - Upsell</t>
        </is>
      </c>
      <c r="C60" s="36" t="n">
        <v>42.96</v>
      </c>
      <c r="D60" s="37" t="n">
        <v>0.2262839083486964</v>
      </c>
      <c r="E60" s="37" t="n">
        <v>0.0001327735293098648</v>
      </c>
    </row>
    <row r="61">
      <c r="A61" s="35" t="inlineStr">
        <is>
          <t>Mailshop</t>
        </is>
      </c>
      <c r="B61" s="41" t="inlineStr">
        <is>
          <t>MS - Basket Pop Up</t>
        </is>
      </c>
      <c r="C61" s="36" t="n">
        <v>31.96</v>
      </c>
      <c r="D61" s="37" t="n">
        <v>0.1683434290229128</v>
      </c>
      <c r="E61" s="37" t="n">
        <v>9.877658279197576e-05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3" t="inlineStr">
        <is>
          <t>Fresh Relevance — Monthly Performance Report (You Garden)</t>
        </is>
      </c>
    </row>
    <row r="2">
      <c r="A2" t="inlineStr"/>
    </row>
    <row r="3">
      <c r="A3" t="inlineStr">
        <is>
          <t>Layout: 2025 Jun–Dec, then 2026 Jan–Dec. Period Total = all populated months.</t>
        </is>
      </c>
    </row>
    <row r="4">
      <c r="A4" t="inlineStr"/>
    </row>
    <row r="5">
      <c r="A5" t="inlineStr">
        <is>
          <t>Attribution: Default (Product Only), 24-hour window.</t>
        </is>
      </c>
    </row>
    <row r="6">
      <c r="A6" t="inlineStr"/>
    </row>
    <row r="7">
      <c r="A7" t="inlineStr">
        <is>
          <t>FR Sales MoM (%)</t>
        </is>
      </c>
    </row>
    <row r="8">
      <c r="A8" t="inlineStr">
        <is>
          <t>• Blank when prior month has no FR sales (avoids #VALUE! errors)</t>
        </is>
      </c>
    </row>
    <row r="9">
      <c r="A9" t="inlineStr">
        <is>
          <t>• Jun 2025 and Jan 2026 compare to prior month when data exists</t>
        </is>
      </c>
    </row>
    <row r="10">
      <c r="A10" t="inlineStr"/>
    </row>
    <row r="11">
      <c r="A11" t="inlineStr">
        <is>
          <t>Formatting</t>
        </is>
      </c>
    </row>
    <row r="12">
      <c r="A12" t="inlineStr">
        <is>
          <t>• Faded green = up vs prior month | Faded red = down (heatmap)</t>
        </is>
      </c>
    </row>
    <row r="13">
      <c r="A13" t="inlineStr">
        <is>
          <t>• Pink/red cells = missing data (no FR screenshot available)</t>
        </is>
      </c>
    </row>
    <row r="14">
      <c r="A14" t="inlineStr">
        <is>
          <t>• 2026 Jul–Dec = plain rows (no colour) until data available</t>
        </is>
      </c>
    </row>
    <row r="15">
      <c r="A15" t="inlineStr">
        <is>
          <t>• Cell borders in Excel = selection outline, not part of the file</t>
        </is>
      </c>
    </row>
    <row r="16">
      <c r="A16" t="inlineStr">
        <is>
          <t>• Section colours on all rows match headers (grey/green/blue/yellow)</t>
        </is>
      </c>
    </row>
    <row r="17">
      <c r="A17" t="inlineStr">
        <is>
          <t>• Jun 2026 (MTD) = yellow period columns only</t>
        </is>
      </c>
    </row>
    <row r="18">
      <c r="A18" t="inlineStr">
        <is>
          <t>• Period Total = bold, sums Jun 2025 – Jun 2026 (not 2026 calendar YTD only)</t>
        </is>
      </c>
    </row>
    <row r="19">
      <c r="A19" t="inlineStr"/>
    </row>
    <row r="20">
      <c r="A20" t="inlineStr">
        <is>
          <t>Web Slots tab</t>
        </is>
      </c>
    </row>
    <row r="21">
      <c r="A21" t="inlineStr">
        <is>
          <t>• Period: 1 Jun 2025 – 1 Jun 2026 — from FR slot-level export</t>
        </is>
      </c>
    </row>
    <row r="22">
      <c r="A22" t="inlineStr">
        <is>
          <t>• Web slots only — email campaign slots are excluded</t>
        </is>
      </c>
    </row>
    <row r="23">
      <c r="A23" t="inlineStr">
        <is>
          <t>• Slot names grouped (EM#### email suffixes stripped where present)</t>
        </is>
      </c>
    </row>
    <row r="24">
      <c r="A24" t="inlineStr">
        <is>
          <t>• Revenue = on-site + off-site attributed revenue per slot</t>
        </is>
      </c>
    </row>
    <row r="25">
      <c r="A25" t="inlineStr">
        <is>
          <t>• Source CSV: fr-slots-2025-06-to-2026-06.csv — replace and re-run script to refresh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2026-06-05T13:04:36Z</dcterms:created>
  <dcterms:modified xsi:type="dcterms:W3CDTF">2026-06-05T13:04:36Z</dcterms:modified>
</cp:coreProperties>
</file>